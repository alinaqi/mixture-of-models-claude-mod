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ettings" sheetId="2" state="visible" r:id="rId4"/>
    <sheet name="Prompts" sheetId="3" state="visible" r:id="rId5"/>
    <sheet name="Results" sheetId="4" state="visible" r:id="rId6"/>
  </sheets>
  <definedNames>
    <definedName function="false" hidden="true" localSheetId="3" name="_xlnm._FilterDatabase" vbProcedure="false">Results!$A$1:$R$321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bench</author>
  </authors>
  <commentList>
    <comment ref="B3" authorId="0">
      <text>
        <r>
          <rPr>
            <sz val="10"/>
            <rFont val="Arial"/>
            <family val="2"/>
          </rPr>
          <t xml:space="preserve">The mod's default thresholds (router.thresholds in model-config.json).</t>
        </r>
      </text>
    </comment>
  </commentList>
</comments>
</file>

<file path=xl/comments4.xml><?xml version="1.0" encoding="utf-8"?>
<comments xmlns="http://schemas.openxmlformats.org/spreadsheetml/2006/main" xmlns:xdr="http://schemas.openxmlformats.org/drawingml/2006/spreadsheetDrawing">
  <authors>
    <author>bench</author>
  </authors>
  <commentList>
    <comment ref="L1" authorId="0">
      <text>
        <r>
          <rPr>
            <sz val="10"/>
            <rFont val="Arial"/>
            <family val="2"/>
          </rPr>
          <t xml:space="preserve">1 when the prompt needs Claude (expected min above the coding threshold) but this model scored it below critical, so a cheap model would have taken it.</t>
        </r>
      </text>
    </comment>
  </commentList>
</comments>
</file>

<file path=xl/sharedStrings.xml><?xml version="1.0" encoding="utf-8"?>
<sst xmlns="http://schemas.openxmlformats.org/spreadsheetml/2006/main" count="1441" uniqueCount="218">
  <si>
    <t xml:space="preserve">Routing benchmark: which model routes best (32 prompts, 2026-10-29)</t>
  </si>
  <si>
    <t xml:space="preserve">Model</t>
  </si>
  <si>
    <t xml:space="preserve">Prompts</t>
  </si>
  <si>
    <t xml:space="preserve">Parsed</t>
  </si>
  <si>
    <t xml:space="preserve">Tier accuracy</t>
  </si>
  <si>
    <t xml:space="preserve">Score in range</t>
  </si>
  <si>
    <t xml:space="preserve">Kind accuracy</t>
  </si>
  <si>
    <t xml:space="preserve">Risky misroutes</t>
  </si>
  <si>
    <t xml:space="preserve">Avg seconds</t>
  </si>
  <si>
    <t xml:space="preserve">Total cost ($)</t>
  </si>
  <si>
    <t xml:space="preserve">Cost per 1,000 prompts ($)</t>
  </si>
  <si>
    <t xml:space="preserve">Rank (tier accuracy)</t>
  </si>
  <si>
    <t xml:space="preserve">claude-haiku-4-5</t>
  </si>
  <si>
    <t xml:space="preserve">claude-haiku-5-5</t>
  </si>
  <si>
    <t xml:space="preserve">claude-sonnet-5-5</t>
  </si>
  <si>
    <t xml:space="preserve">deepseek-pro</t>
  </si>
  <si>
    <t xml:space="preserve">gemini-3.8-flash</t>
  </si>
  <si>
    <t xml:space="preserve">glm-5.3</t>
  </si>
  <si>
    <t xml:space="preserve">gpt-6-luna</t>
  </si>
  <si>
    <t xml:space="preserve">gpt-6-sol</t>
  </si>
  <si>
    <t xml:space="preserve">kimi-2.7-code</t>
  </si>
  <si>
    <t xml:space="preserve">minimax-m3</t>
  </si>
  <si>
    <t xml:space="preserve">Tier accuracy: share of prompts routed to an acceptable tier (between the tiers of the expected min and max score).</t>
  </si>
  <si>
    <t xml:space="preserve">Risky misroutes: prompts that need Claude (critical) that the model would have sent to a cheaper model. The most important column: lower is safer.</t>
  </si>
  <si>
    <t xml:space="preserve">Cost per 1,000 prompts: what this model would cost as the router for 1,000 prompts, from this run. See Settings for how cost was measured.</t>
  </si>
  <si>
    <t xml:space="preserve">Routing benchmark: which model routes best</t>
  </si>
  <si>
    <t xml:space="preserve">Setting</t>
  </si>
  <si>
    <t xml:space="preserve">Value</t>
  </si>
  <si>
    <t xml:space="preserve">Simple tier: score at or below</t>
  </si>
  <si>
    <t xml:space="preserve">Coding tier: score at or below (above is critical)</t>
  </si>
  <si>
    <t xml:space="preserve">How to read this workbook</t>
  </si>
  <si>
    <t xml:space="preserve">Prompts: 32 labelled tasks, from creating a text file to a multi-tenant B2B SaaS. Min/Max is the score range a good router should give on the mod's blast-radius rubric; edit them (yellow) if you disagree.</t>
  </si>
  <si>
    <t xml:space="preserve">Results: one row per model and prompt: the model's raw reply, the verdict the mod would parse from it, and its time and cost.</t>
  </si>
  <si>
    <t xml:space="preserve">Summary: per model, how often it routed to an acceptable tier, how often it under-scored risky work (critical expected, routed below), and what routing 1,000 prompts would cost.</t>
  </si>
  <si>
    <t xml:space="preserve">Method: each model was asked the mod's exact classifier question (hooks/lib/classify.js classifierPrompt) once per prompt on 2026-10-29, and its reply parsed with the mod's parseVerdict rule.</t>
  </si>
  <si>
    <t xml:space="preserve">Palgu models: Anthropic API on api.palgu.ai, pinned with x-srooter-pin, max 400 output tokens; cost is Palgu's own /v1/pricing/quote for the usage returned.</t>
  </si>
  <si>
    <t xml:space="preserve">Claude models: claude -p on the user's login with a minimal system prompt; cost estimated at API list prices (Haiku 5.5 $0.10/$0.50, Haiku 4.5 $1/$5, Sonnet 5.5 $2/$10 per million) from the question size (~4 characters a token) and the reported output tokens, which include thinking.</t>
  </si>
  <si>
    <t xml:space="preserve">Not run: the local Ollama classifier (qwen2.5-coder:3b), because Ollama was not running.</t>
  </si>
  <si>
    <t xml:space="preserve">Legend: blue text with a yellow fill = an input you may change. Black = a formula.</t>
  </si>
  <si>
    <t xml:space="preserve">ID</t>
  </si>
  <si>
    <t xml:space="preserve">Category</t>
  </si>
  <si>
    <t xml:space="preserve">Prompt</t>
  </si>
  <si>
    <t xml:space="preserve">Expected min score</t>
  </si>
  <si>
    <t xml:space="preserve">Expected max score</t>
  </si>
  <si>
    <t xml:space="preserve">Expected kind</t>
  </si>
  <si>
    <t xml:space="preserve">Lowest acceptable tier</t>
  </si>
  <si>
    <t xml:space="preserve">Highest acceptable tier</t>
  </si>
  <si>
    <t xml:space="preserve">File</t>
  </si>
  <si>
    <t xml:space="preserve">Create a text file notes.txt containing the word hello</t>
  </si>
  <si>
    <t xml:space="preserve">code</t>
  </si>
  <si>
    <t xml:space="preserve">Bash search</t>
  </si>
  <si>
    <t xml:space="preserve">Run a bash command to find every .py file in this repo that contains TODO</t>
  </si>
  <si>
    <t xml:space="preserve">grep the logs folder for ERROR and tell me how many times it appears</t>
  </si>
  <si>
    <t xml:space="preserve">data</t>
  </si>
  <si>
    <t xml:space="preserve">Lookup</t>
  </si>
  <si>
    <t xml:space="preserve">How do I reverse a list in Python?</t>
  </si>
  <si>
    <t xml:space="preserve">research</t>
  </si>
  <si>
    <t xml:space="preserve">Explain what this regex matches: ^\d{3}-\d{4}$</t>
  </si>
  <si>
    <t xml:space="preserve">review</t>
  </si>
  <si>
    <t xml:space="preserve">Git</t>
  </si>
  <si>
    <t xml:space="preserve">Show me git status and the last five commits</t>
  </si>
  <si>
    <t xml:space="preserve">Hello world</t>
  </si>
  <si>
    <t xml:space="preserve">Write a hello world program in Python and run it</t>
  </si>
  <si>
    <t xml:space="preserve">Create a hello world Express server that listens on port 3000</t>
  </si>
  <si>
    <t xml:space="preserve">Small edit</t>
  </si>
  <si>
    <t xml:space="preserve">Rename the variable usr to user in src/utils.js</t>
  </si>
  <si>
    <t xml:space="preserve">Add a .gitignore for a Node project</t>
  </si>
  <si>
    <t xml:space="preserve">Docs</t>
  </si>
  <si>
    <t xml:space="preserve">Write a commit message for the staged changes</t>
  </si>
  <si>
    <t xml:space="preserve">docs</t>
  </si>
  <si>
    <t xml:space="preserve">Write a README for this project explaining setup and usage</t>
  </si>
  <si>
    <t xml:space="preserve">Tests</t>
  </si>
  <si>
    <t xml:space="preserve">Add unit tests for the date parsing helpers in src/dates.ts</t>
  </si>
  <si>
    <t xml:space="preserve">Data</t>
  </si>
  <si>
    <t xml:space="preserve">Write a SQL query for monthly active users from the events table</t>
  </si>
  <si>
    <t xml:space="preserve">Static site</t>
  </si>
  <si>
    <t xml:space="preserve">Create a simple static HTML site with index, about and contact pages and one shared CSS file</t>
  </si>
  <si>
    <t xml:space="preserve">CLI</t>
  </si>
  <si>
    <t xml:space="preserve">Build a small Go CLI that converts a CSV file to JSON, with --input and --output flags</t>
  </si>
  <si>
    <t xml:space="preserve">Multimodal</t>
  </si>
  <si>
    <t xml:space="preserve">This screenshot shows the header overlapping the content on mobile. Fix the CSS.</t>
  </si>
  <si>
    <t xml:space="preserve">multimodal</t>
  </si>
  <si>
    <t xml:space="preserve">Simple web app</t>
  </si>
  <si>
    <t xml:space="preserve">Build a URL shortener web app with Flask and SQLite: a form to submit a URL and a redirect route</t>
  </si>
  <si>
    <t xml:space="preserve">Build a to-do app in React: add, complete and delete items, persisted in localStorage</t>
  </si>
  <si>
    <t xml:space="preserve">Feature</t>
  </si>
  <si>
    <t xml:space="preserve">Add a dark mode toggle to the settings page and apply it across all components</t>
  </si>
  <si>
    <t xml:space="preserve">Research</t>
  </si>
  <si>
    <t xml:space="preserve">Compare Postgres and MongoDB for our analytics workload and recommend one</t>
  </si>
  <si>
    <t xml:space="preserve">Review</t>
  </si>
  <si>
    <t xml:space="preserve">Review this PR diff across the API and the web client for bugs</t>
  </si>
  <si>
    <t xml:space="preserve">API</t>
  </si>
  <si>
    <t xml:space="preserve">Build a REST API in Express for a blog: posts CRUD with SQLite, validation and tests</t>
  </si>
  <si>
    <t xml:space="preserve">Refactor</t>
  </si>
  <si>
    <t xml:space="preserve">Refactor the user service into three modules and update the imports across the codebase</t>
  </si>
  <si>
    <t xml:space="preserve">Integration</t>
  </si>
  <si>
    <t xml:space="preserve">Wire Stripe Checkout into our Next.js app following Stripe's standard pattern, with a webhook for completed payments</t>
  </si>
  <si>
    <t xml:space="preserve">Deploy</t>
  </si>
  <si>
    <t xml:space="preserve">Deploy the app to Render using the existing render.yaml</t>
  </si>
  <si>
    <t xml:space="preserve">Concurrency</t>
  </si>
  <si>
    <t xml:space="preserve">Fix the race condition in our job queue where two workers sometimes pick the same job</t>
  </si>
  <si>
    <t xml:space="preserve">Migration</t>
  </si>
  <si>
    <t xml:space="preserve">Split the name column into first_name and last_name on the live users table (10M rows) with zero downtime</t>
  </si>
  <si>
    <t xml:space="preserve">Incident</t>
  </si>
  <si>
    <t xml:space="preserve">Production is down: checkout returns 500s since the last deploy. Find the root cause and fix it.</t>
  </si>
  <si>
    <t xml:space="preserve">Architecture</t>
  </si>
  <si>
    <t xml:space="preserve">Design the authentication and session architecture for our platform, including token refresh and revocation</t>
  </si>
  <si>
    <t xml:space="preserve">Security</t>
  </si>
  <si>
    <t xml:space="preserve">Audit our API for security vulnerabilities such as IDOR and injection, and fix what you find</t>
  </si>
  <si>
    <t xml:space="preserve">B2B SaaS</t>
  </si>
  <si>
    <t xml:space="preserve">Build a multi-tenant B2B SaaS: organisations, RBAC, SAML SSO, Stripe billing, audit logs, and Postgres row-level security between tenants</t>
  </si>
  <si>
    <t xml:space="preserve">Prompt ID</t>
  </si>
  <si>
    <t xml:space="preserve">Raw reply</t>
  </si>
  <si>
    <t xml:space="preserve">Score</t>
  </si>
  <si>
    <t xml:space="preserve">Kind</t>
  </si>
  <si>
    <t xml:space="preserve">Routed tier</t>
  </si>
  <si>
    <t xml:space="preserve">Expected min</t>
  </si>
  <si>
    <t xml:space="preserve">Expected max</t>
  </si>
  <si>
    <t xml:space="preserve">Tier OK</t>
  </si>
  <si>
    <t xml:space="preserve">Kind OK</t>
  </si>
  <si>
    <t xml:space="preserve">Risky misroute</t>
  </si>
  <si>
    <t xml:space="preserve">Seconds</t>
  </si>
  <si>
    <t xml:space="preserve">Tokens in</t>
  </si>
  <si>
    <t xml:space="preserve">Tokens out</t>
  </si>
  <si>
    <t xml:space="preserve">Cost ($)</t>
  </si>
  <si>
    <t xml:space="preserve">Served model</t>
  </si>
  <si>
    <t xml:space="preserve">Error</t>
  </si>
  <si>
    <t xml:space="preserve">1 docs</t>
  </si>
  <si>
    <t xml:space="preserve">1 research</t>
  </si>
  <si>
    <t xml:space="preserve">1 data</t>
  </si>
  <si>
    <t xml:space="preserve">2 data</t>
  </si>
  <si>
    <t xml:space="preserve">1 code</t>
  </si>
  <si>
    <t xml:space="preserve">3 code</t>
  </si>
  <si>
    <t xml:space="preserve">2 docs</t>
  </si>
  <si>
    <t xml:space="preserve">3 docs</t>
  </si>
  <si>
    <t xml:space="preserve">2 data
This is a data extraction query—a lookup task reading from an existing table. No code changes, no deployment risk, no schema modifications. Straightforward `SELECT`/`GROUP BY`/`COUNT DISTINCT` pattern.</t>
  </si>
  <si>
    <t xml:space="preserve">4 code
**Reasoning:**
- Single-purpose, self-contained CLI tool
- Straightforward requirements (CSV parsing, JSON encoding, two flags)
- No multi-service integration or external wiring
- Small blast radius: reversible, low stakes, focused scope
- Falls in the "scaffolding / small tool" range (3-4 b</t>
  </si>
  <si>
    <t xml:space="preserve">3 code
**Reasoning:**
- Single-file CSS edit (small bug fix)
- Mobile layout positioning issue, easy to undo
- No services, no deep reasoning, no breaking changes
- Targeted fix within one or a few stylesheets</t>
  </si>
  <si>
    <t xml:space="preserve">5 code</t>
  </si>
  <si>
    <t xml:space="preserve">5 code
**Blast radius:** Multi-file feature (component, state, localStorage hook, tests) with standard React patterns. Isolated, no service integrations, easily reversible.
**Kind:** Write React code, state management, and tests.</t>
  </si>
  <si>
    <t xml:space="preserve">6 code</t>
  </si>
  <si>
    <t xml:space="preserve">8 research
This is a database architecture decision—high-stakes comparison requiring deep tradeoff analysis (consistency models, query patterns, scalability, operational complexity). Once implemented, migration is expensive. Requires reasoning about workload requirements, not just lookup.</t>
  </si>
  <si>
    <t xml:space="preserve">6 review</t>
  </si>
  <si>
    <t xml:space="preserve">5 code
Reasoning: Multi-file feature (routes, models, middleware, tests) integrating Express and SQLite following standard REST patterns. No architectural ambiguity, security design questions, or risky operations—straightforward CRUD scaffolding with clear scope.</t>
  </si>
  <si>
    <t xml:space="preserve">6 code
Rationale: Multi-file refactor with codebase-wide import updates. Moderate risk of circular dependencies and missed call sites. Follows a known pattern but requires careful execution across multiple files to avoid breakage.</t>
  </si>
  <si>
    <t xml:space="preserve">5 code
This is a multi-file deployment to an external service (Render) following an established pattern (existing render.yaml). Moderate blast radius—can affect live services, environment variables could be misconfigured, but is reversible via redeployment. No architecture changes, no complex cross</t>
  </si>
  <si>
    <t xml:space="preserve">8 code</t>
  </si>
  <si>
    <t xml:space="preserve">8 code
This is a data migration on a live 10M-row table with zero-downtime constraints—explicitly the 7–8 category ("data migrations, changes that are awkward to undo"). It requires careful orchestration: backward-compatible schema evolution, staged backfill, dual-write validation, and safe rollbac</t>
  </si>
  <si>
    <t xml:space="preserve">9 code</t>
  </si>
  <si>
    <t xml:space="preserve">9 docs</t>
  </si>
  <si>
    <t xml:space="preserve">9 code
This is a security audit with fixes. It requires reviewing authorization logic and input handling across the API surface, making changes that alter access control behavior, and demands careful regression testing. Security fixes are irreversible by nature (once you've patched a vulnerability,</t>
  </si>
  <si>
    <t xml:space="preserve">10 code
**Reasoning:**
- **Security/auth critical**: SAML SSO, RBAC, and tenant isolation are explicit high-severity tasks in your guidelines
- **Irreversible architecture**: Tenant model shape, RLS policies, and data structure can't be refactored once live—wrong isolation = data breach
- **Multi-s</t>
  </si>
  <si>
    <t xml:space="preserve">1 review</t>
  </si>
  <si>
    <t xml:space="preserve">3 data</t>
  </si>
  <si>
    <t xml:space="preserve">4 code</t>
  </si>
  <si>
    <t xml:space="preserve">9 research</t>
  </si>
  <si>
    <t xml:space="preserve">2 review</t>
  </si>
  <si>
    <t xml:space="preserve">7 code</t>
  </si>
  <si>
    <t xml:space="preserve">8 data</t>
  </si>
  <si>
    <t xml:space="preserve">10 code</t>
  </si>
  <si>
    <t xml:space="preserve">2 code</t>
  </si>
  <si>
    <t xml:space="preserve">5 research</t>
  </si>
  <si>
    <t xml:space="preserve">deepseek-v4-pro</t>
  </si>
  <si>
    <t xml:space="preserve">We need answer rating. Need parse task: "Create a simple static HTML site with index, about and contact pages and one shared CSS file". Need reply two words blast radius from 1-10 and kind. Need determine. This is code? User asks create site, multi-file feature? Static HTML site with 3 pages and sha</t>
  </si>
  <si>
    <t xml:space="preserve">We need answer user asks rate coding-assistant task. Need reply two words: blast radius 1-10 space kind. Need assess task: "Build a URL shortener web app with Flask and SQLite: a form to submit a URL and a redirect route". This is code task. Need blast radius. Need consider instructions. Build a URL</t>
  </si>
  <si>
    <t xml:space="preserve">We need answer user asks: Rate coding-assistant task. Need reply two words: blast radius 1-10, space, kind. Need evaluate task "Compare Postgres and MongoDB for our analytics workload and recommend one". Kind? Research? Compare and recommend. No code. Likely research. Blast radius? This is advisory/</t>
  </si>
  <si>
    <t xml:space="preserve">We need answer only two words: blast radius 1-10 and kind. Need analyze task. User asks "Review this PR diff across the API and the web client for bugs". Kind likely review. Need rate blast radius. Need infer from task: reviewing PR diff across API and web client. It's a code review task. Blast radi</t>
  </si>
  <si>
    <t xml:space="preserve">We need answer only two words: blast radius 1-10 and kind. Need classify task. User asks "Rate this coding-assistant task. Reply with two words: the blast radius from 1-10, a space, and the kind. Example: 6 code
Blast radius:
1-2: lookups, grep, shell one-liners, syntax questions, reading logs, git </t>
  </si>
  <si>
    <t xml:space="preserve">We need answer rating. Need infer task: "Split the name column into first_name and last_name on the live users table (10M rows) with zero downtime". This is coding-assistant task. Need reply two words: blast radius 1-10 and kind. Need rate. Let's analyze.
Task involves database migration on live ta</t>
  </si>
  <si>
    <t xml:space="preserve">We need answer only two words: blast radius 1-10 and kind. Need classify task. User asks "Design the authentication and session architecture for our platform, including token refresh and revocation." This is architecture/security/auth design. Blast radius 9-10 per rubric: security or auth design, ar</t>
  </si>
  <si>
    <t xml:space="preserve">3 multimodal</t>
  </si>
  <si>
    <t xml:space="preserve">2 research</t>
  </si>
  <si>
    <t xml:space="preserve">The task: "Compare Postgres and MongoDB for our analytics workload and recommend one"
This is a research/comparison task — comparing two databases for an analytics workload and making a recommendation. This is essentially a technology selection / architecture decision. Wait — "architecture decision</t>
  </si>
  <si>
    <t xml:space="preserve">The task is: "Review this PR diff across the API and the web client for bugs"
The user wants me to rate this task with two words: blast radius (1-10) and kind.
Blast radius: Reviewing a PR diff across the API and web client — this is a review task, not making changes. Reviewing code doesn't change</t>
  </si>
  <si>
    <t xml:space="preserve">Let me analyze this task: "Wire Stripe Checkout into our Next.js app following Stripe's standard pattern, with a webhook for completed payments."
This involves:
- Multi-file edits in a Next.js app (API routes for checkout session creation, webhook endpoint, client-side code)
- Integration with an e</t>
  </si>
  <si>
    <t xml:space="preserve">Let me analyze this task: "Production is down: checkout returns 500s since the last deploy. Find the root cause and fix it."
Key elements:
- Production incident: checkout (revenue-critical path) is down with 500s
- Correlated with the last deploy
- Need root cause analysis and a fix
Blast radius a</t>
  </si>
  <si>
    <t xml:space="preserve">10 docs</t>
  </si>
  <si>
    <t xml:space="preserve">The task: "Audit our API for security vulnerabilities such as IDOR and injection, and fix what you find"
Blast radius: security audit and fixes. Security or auth design scores 9-10. IDOR is an access control (auth) issue; injection fixes too. So blast radius 9 or 10. Fixing security vulnerabilities</t>
  </si>
  <si>
    <t xml:space="preserve">5 review</t>
  </si>
  <si>
    <t xml:space="preserve">We need rate task. Task: create text file notes.txt containing word hello. This is shell one-liner / file creation. Very low blast radius 1-2. Kind: code? Creating a text file is config? It's a file operation. The kinds: code (write or change code, tests, config), docs (prose), data, etc. Creating a</t>
  </si>
  <si>
    <t xml:space="preserve">kimi-k2.7-code</t>
  </si>
  <si>
    <t xml:space="preserve">We need answer with two words: blast radius number 1-10 space kind. The task: grep logs folder for ERROR and count occurrences. According to criteria: lookups, grep, shell one-liners, reading logs = 1-2 blast radius. Kind: it's reading logs/grep, maybe code? Kinds: code write/change code tests confi</t>
  </si>
  <si>
    <t xml:space="preserve">The user is asking for a rating of a coding-assistant task. The task is "How do I reverse a list in Python?"
I need to reply with two words: the blast radius from 1-10, a space, and the kind.
Let's analyze the task:
- It's asking how to reverse a list in Python
- This is a simple syntax/lookup que</t>
  </si>
  <si>
    <t xml:space="preserve">We need rate coding-assistant task. User says: Task: Explain what this regex matches: ^\d{3}-\d{4}$. Need reply with two words: blast radius 1-10, space, kind. Determine blast radius and kind.
Need evaluate based on criteria. This is a lookup/syntax question about regex. Very small blast radius. It</t>
  </si>
  <si>
    <t xml:space="preserve">We need answer user. They asked: "Rate this coding-assistant task. Reply with two words: the blast radius from 1-10, a space, and the kind." Need output exactly two words. Task: Show me git status and the last five commits. Blast radius: it's lookups, reading logs, git status or diff =&gt; 1-2. Kind? C</t>
  </si>
  <si>
    <t xml:space="preserve">4 docs</t>
  </si>
  <si>
    <t xml:space="preserve">We need answer with two words: blast radius 1-10 and kind. Need classify task: Build a to-do app in React: add, complete, delete, persisted in localStorage. This is a small multi-file feature? It could be single-page app, maybe create-react-app or Vite. It involves UI component, state, localStorage.</t>
  </si>
  <si>
    <t xml:space="preserve">8 research</t>
  </si>
  <si>
    <t xml:space="preserve">The user wants me to rate a coding-assistant task. I need to reply with two words: blast radius (1-10), a space, and the kind.
Task: "Production is down: checkout returns 500s since the last deploy. Find the root cause and fix it."
Analyzing blast radius:
- Production incident: this is explicitly </t>
  </si>
  <si>
    <t xml:space="preserve">The user wants me to rate a coding-assistant task according to their scale. The task is: "Design the authentication and session architecture for our platform, including token refresh and revocation"
Let me analyze:
- This involves authentication and session architecture design
- Includes token refr</t>
  </si>
  <si>
    <t xml:space="preserve">The user wants me to rate a coding-assistant task. The task is: "Audit our API for security vulnerabilities such as IDOR and injection, and fix what you find"
I need to provide two words: blast radius from 1-10, a space, and the kind.
Let me analyze:
- This is security audit work for an API
- It i</t>
  </si>
  <si>
    <t xml:space="preserve">The user wants me to rate a coding-assistant task based on the blast radius scale and kind provided.
Task: Build a multi-tenant B2B SaaS: organisations, RBAC, SAML SSO, Stripe billing, audit logs, and Postgres row-level security between tenants
This is clearly a large architectural task involving:</t>
  </si>
  <si>
    <t xml:space="preserve">MiniMax-M3</t>
  </si>
  <si>
    <t xml:space="preserve">&lt;think&gt;We need answer two words format blast radius number space kind. Need classify task. User asks run bash command find every .py file repo containing TODO. This is lookup/grep/shell one-liner, blast radius 1-2, kind research? They specify kinds code (write/change), research (find out, compare, l</t>
  </si>
  <si>
    <t xml:space="preserve">&lt;think&gt;We need answer exactly two words? "blast radius from 1-10, a space, and kind." Task explain regex. This is lookup/syntax question, radius 1, kind research perhaps? Regex explanation is maybe research vs code. Need output "1 research". Ensure no more.&lt;/think&gt;
1 research</t>
  </si>
  <si>
    <t xml:space="preserve">&lt;think&gt;We need answer exactly two words format: blast radius number space kind. Task write hello world Python and run it. Need rate. Blast radius likely 2 code, because simple single-file edit/run. Need "2 code". Ensure only two words.&lt;/think&gt;
2 code</t>
  </si>
  <si>
    <t xml:space="preserve">&lt;think&gt;We need answer exactly two words? Need rate task. "Write a commit message for staged changes" This is docs? Commit message explicitly docs category. Blast radius likely 1 because inspect staged diff and write message, no code changes. Kind docs. Output "1 docs". Need ensure two words.&lt;/think&gt;</t>
  </si>
  <si>
    <t xml:space="preserve">&lt;think&gt;We need answer exactly two words? "blast radius from 1-10, a space, and kind." Task write README explaining setup usage. Blast radius likely 2? Kind docs. They define 1-2 lookups grep etc, 3-4 docs. Interesting README prose docs, likely 3 docs. Need output "3 docs". No extra.&lt;/think&gt;
3 docs</t>
  </si>
  <si>
    <t xml:space="preserve">&lt;think&gt;We need answer exactly two words? "3 code" likely. Task add unit tests date parsing helpers. Blast radius single-file tests maybe 3, kind code. Need obey format two words number space kind. Could be 3 code.&lt;/think&gt;
3 code</t>
  </si>
  <si>
    <t xml:space="preserve">&lt;think&gt;We need answer exactly two words: blast radius number space kind. Need rate task. Need infer. Task: write SQL query for monthly active users from events table. This is likely data? It asks SQL query, code? Kinds include code (write/change code, tests, config), data (SQL, logs, transforms, bul</t>
  </si>
  <si>
    <t xml:space="preserve">&lt;think&gt;We need answer exactly two words: blast radius number space kind. Need assess task: create simple static HTML site with index/about/contact pages and one shared CSS. Multi-file? 4 files, simple scaffolding. Blast radius likely 4? Definitions: 3-4 single-file edits, tests, docs, config changes</t>
  </si>
  <si>
    <t xml:space="preserve">&lt;think&gt;We need answer exactly two words: blast radius number and kind. Need assess task. Build small Go CLI CSV to JSON flags. Single-file maybe multi-file small feature. 3-4. Kind code. Could be "4 code". Need no explanation.&lt;/think&gt;
4 code</t>
  </si>
  <si>
    <t xml:space="preserve">&lt;think&gt;We need answer exactly two words? "Rate ... Reply with two words: blast radius 1-10, a space, and kind. Example 6 code". Task screenshot header overlap mobile CSS. Need classify. Single-file CSS small bug fix = 3-4. Kind code. Need pick likely 3 code. Two words means number and code. No elabo</t>
  </si>
  <si>
    <t xml:space="preserve">&lt;think&gt;We need answer exactly two words? Need rate task blast radius and kind. Task build URL shortener Flask SQLite form submit URL redirect route. Need assess. Likely 5? Multi-file feature perhaps modest web app, wiring Flask SQLite, routes, form, redirect. According rubric 5-6 multi-file features</t>
  </si>
  <si>
    <t xml:space="preserve">&lt;think&gt;We need answer two words exactly format blast radius number space kind. Need assess task. React to-do app add complete delete localStorage. Single-file perhaps small feature, blast radius 3? Kind code. Need output "3 code" likely. Need carefully follow user: "Reply with two words: the blast r</t>
  </si>
  <si>
    <t xml:space="preserve">&lt;think&gt;We need answer exactly two words: blast radius number 1-10, space, kind. Need rate task. "Add dark mode toggle to settings page and apply it across all components" Multi-file feature likely 5 or 6. Apply across all components broad, theme system, maybe 5-6. Since "all components" but likely f</t>
  </si>
  <si>
    <t xml:space="preserve">&lt;think&gt;We need answer exactly two words format: blast radius number space kind. Need assess task. "Compare Postgres and MongoDB for our analytics workload and recommend one" This is research/architecture decision? Kind research, blast radius likely 5-6? Need infer rubric. Comparison/recommendation i</t>
  </si>
  <si>
    <t xml:space="preserve">&lt;think&gt;We need answer exactly two words? "6 code" etc. Task review PR diff across API and web client for bugs. Need blast radius and kind. Review kind, likely blast radius maybe 6? It spans API and web client, multi-file review, but review only no changes. Criteria says 5-6 multi-file features, wiri</t>
  </si>
  <si>
    <t xml:space="preserve">&lt;think&gt;We need answer exactly two words: blast radius number and kind. Need rate task. Need interpret. "Build a REST API in Express for a blog: posts CRUD with SQLite, validation and tests". Multi-file feature, wiring Express/SQLite, validation/tests. Blast radius likely 5 or 6. Kind code. Need only</t>
  </si>
  <si>
    <t xml:space="preserve">&lt;think&gt;We need answer exactly two words? "5 code" likely. Need assess task: refactor user service into three modules and update imports across codebase. Multi-file refactor, perhaps blast radius 5 or 6. Known pattern, no deep reasoning. Three modules + imports across codebase. 5 code. Need only "5 c</t>
  </si>
  <si>
    <t xml:space="preserve">&lt;think&gt;We need answer exactly two words? "6 code" perhaps. Need rate blast radius and kind. Task multi-file feature integration Stripe Checkout and webhook. Payment integration maybe 5-6, not security/auth design necessarily. Webhook requires signature verification perhaps sensitive, but standard kn</t>
  </si>
  <si>
    <t xml:space="preserve">&lt;think&gt;We need answer two words format blast radius number space kind. Need assess task: Deploy app to Render using existing render.yaml. This is deployment following known pattern, likely blast radius 5? Kind code? Task involves deployment/config, perhaps code/config. Need classify. They explicitly</t>
  </si>
  <si>
    <t xml:space="preserve">&lt;think&gt;We need answer exactly two words: blast radius number and kind. Need classify task. Fix race condition job queue two workers same job. Likely code, deep reasoning concurrency at least 7. Blast radius maybe 7? Need infer no details. Could be 7 code because debugging concurrency, potentially da</t>
  </si>
  <si>
    <t xml:space="preserve">&lt;think&gt;We need answer exactly two words? "Rate ... Reply with two words: the blast radius from 1-10, a space, and the kind. Example: 6 code". Need assess task. Split name column into first_name and last_name on live users table 10M rows zero downtime. This is data migration, live production, zero do</t>
  </si>
  <si>
    <t xml:space="preserve">&lt;think&gt;We need answer exactly two words? User asks rate task: blast radius 1-10, space, kind. Need assess production down checkout 500s since last deploy, find root cause and fix. This is production incident, debugging across services maybe 9-10 per rubric. Kind code likely code (write/change code, </t>
  </si>
  <si>
    <t xml:space="preserve">&lt;think&gt;We need answer exactly two words? User says "Reply with two words: the blast radius from 1-10, a space, and the kind. Example: 6 code". Need rate task. Task: Design authentication/session architecture including token refresh/revocation. According rubric 9-10 security/auth design, architecture</t>
  </si>
  <si>
    <t xml:space="preserve">&lt;think&gt;We need answer two words: blast radius and kind. Need assess task. "Audit our API for security vulnerabilities such as IDOR and injection, and fix what you find". Security design/auth etc 9-10. Kind code likely because fix vulnerabilities, audit maybe code. They explicitly want kind one word.</t>
  </si>
  <si>
    <t xml:space="preserve">&lt;think&gt;We need answer two words blast radius and kind. Need evaluate task: build multi-tenant B2B SaaS orgs RBAC SAML SSO Stripe billing audit logs Postgres RLS multi tenants. Blast radius 9-10 security auth design architecture decisions, irreversible. It's code because build write code config. Need</t>
  </si>
</sst>
</file>

<file path=xl/styles.xml><?xml version="1.0" encoding="utf-8"?>
<styleSheet xmlns="http://schemas.openxmlformats.org/spreadsheetml/2006/main">
  <numFmts count="6">
    <numFmt numFmtId="164" formatCode="General"/>
    <numFmt numFmtId="165" formatCode="0.0%"/>
    <numFmt numFmtId="166" formatCode="0.0"/>
    <numFmt numFmtId="167" formatCode="\$0.0000"/>
    <numFmt numFmtId="168" formatCode="\$0.000"/>
    <numFmt numFmtId="169" formatCode="\$0.0000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name val="Arial"/>
      <family val="0"/>
      <charset val="1"/>
    </font>
    <font>
      <i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DD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DEBF7"/>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8"/>
    <col collapsed="false" customWidth="true" hidden="false" outlineLevel="0" max="7" min="4" style="0" width="11"/>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11"/>
  </cols>
  <sheetData>
    <row r="1" customFormat="false" ht="16.15" hidden="false" customHeight="false" outlineLevel="0" collapsed="false">
      <c r="A1" s="1" t="s">
        <v>0</v>
      </c>
    </row>
    <row r="2" customFormat="false" ht="39.55" hidden="false" customHeight="false" outlineLevel="0" collapsed="false">
      <c r="A2" s="2" t="s">
        <v>1</v>
      </c>
      <c r="B2" s="2" t="s">
        <v>2</v>
      </c>
      <c r="C2" s="2" t="s">
        <v>3</v>
      </c>
      <c r="D2" s="2" t="s">
        <v>4</v>
      </c>
      <c r="E2" s="2" t="s">
        <v>5</v>
      </c>
      <c r="F2" s="2" t="s">
        <v>6</v>
      </c>
      <c r="G2" s="2" t="s">
        <v>7</v>
      </c>
      <c r="H2" s="2" t="s">
        <v>8</v>
      </c>
      <c r="I2" s="2" t="s">
        <v>9</v>
      </c>
      <c r="J2" s="2" t="s">
        <v>10</v>
      </c>
      <c r="K2" s="2" t="s">
        <v>11</v>
      </c>
    </row>
    <row r="3" customFormat="false" ht="15" hidden="false" customHeight="false" outlineLevel="0" collapsed="false">
      <c r="A3" s="3" t="s">
        <v>12</v>
      </c>
      <c r="B3" s="3" t="n">
        <f aca="false">COUNTIFS(Results!$A$2:$A$321,$A3)</f>
        <v>32</v>
      </c>
      <c r="C3" s="3" t="n">
        <f aca="false">COUNTIFS(Results!$A$2:$A$321,$A3,Results!$D$2:$D$321,"&lt;&gt;")</f>
        <v>32</v>
      </c>
      <c r="D3" s="4" t="n">
        <f aca="false">IFERROR(SUMIFS(Results!$I$2:$I$321,Results!$A$2:$A$321,$A3)/B3,0)</f>
        <v>0.96875</v>
      </c>
      <c r="E3" s="4" t="n">
        <f aca="false">IFERROR(SUMIFS(Results!$J$2:$J$321,Results!$A$2:$A$321,$A3)/B3,0)</f>
        <v>0.96875</v>
      </c>
      <c r="F3" s="4" t="n">
        <f aca="false">IFERROR(SUMIFS(Results!$K$2:$K$321,Results!$A$2:$A$321,$A3)/B3,0)</f>
        <v>0.71875</v>
      </c>
      <c r="G3" s="3" t="n">
        <f aca="false">SUMIFS(Results!$L$2:$L$321,Results!$A$2:$A$321,$A3)</f>
        <v>0</v>
      </c>
      <c r="H3" s="5" t="n">
        <f aca="false">IFERROR(AVERAGEIFS(Results!$M$2:$M$321,Results!$A$2:$A$321,$A3),0)</f>
        <v>18.104375</v>
      </c>
      <c r="I3" s="6" t="n">
        <f aca="false">SUMIFS(Results!$P$2:$P$321,Results!$A$2:$A$321,$A3)</f>
        <v>0.12613</v>
      </c>
      <c r="J3" s="7" t="n">
        <f aca="false">IFERROR(I3/B3*1000,0)</f>
        <v>3.9415625</v>
      </c>
      <c r="K3" s="3" t="n">
        <f aca="false">RANK(D3,$D$3:$D$12)</f>
        <v>2</v>
      </c>
    </row>
    <row r="4" customFormat="false" ht="15" hidden="false" customHeight="false" outlineLevel="0" collapsed="false">
      <c r="A4" s="3" t="s">
        <v>13</v>
      </c>
      <c r="B4" s="3" t="n">
        <f aca="false">COUNTIFS(Results!$A$2:$A$321,$A4)</f>
        <v>32</v>
      </c>
      <c r="C4" s="3" t="n">
        <f aca="false">COUNTIFS(Results!$A$2:$A$321,$A4,Results!$D$2:$D$321,"&lt;&gt;")</f>
        <v>32</v>
      </c>
      <c r="D4" s="4" t="n">
        <f aca="false">IFERROR(SUMIFS(Results!$I$2:$I$321,Results!$A$2:$A$321,$A4)/B4,0)</f>
        <v>0.90625</v>
      </c>
      <c r="E4" s="4" t="n">
        <f aca="false">IFERROR(SUMIFS(Results!$J$2:$J$321,Results!$A$2:$A$321,$A4)/B4,0)</f>
        <v>0.875</v>
      </c>
      <c r="F4" s="4" t="n">
        <f aca="false">IFERROR(SUMIFS(Results!$K$2:$K$321,Results!$A$2:$A$321,$A4)/B4,0)</f>
        <v>0.84375</v>
      </c>
      <c r="G4" s="3" t="n">
        <f aca="false">SUMIFS(Results!$L$2:$L$321,Results!$A$2:$A$321,$A4)</f>
        <v>0</v>
      </c>
      <c r="H4" s="5" t="n">
        <f aca="false">IFERROR(AVERAGEIFS(Results!$M$2:$M$321,Results!$A$2:$A$321,$A4),0)</f>
        <v>14.0846875</v>
      </c>
      <c r="I4" s="6" t="n">
        <f aca="false">SUMIFS(Results!$P$2:$P$321,Results!$A$2:$A$321,$A4)</f>
        <v>0.006682</v>
      </c>
      <c r="J4" s="7" t="n">
        <f aca="false">IFERROR(I4/B4*1000,0)</f>
        <v>0.2088125</v>
      </c>
      <c r="K4" s="3" t="n">
        <f aca="false">RANK(D4,$D$3:$D$12)</f>
        <v>6</v>
      </c>
    </row>
    <row r="5" customFormat="false" ht="15" hidden="false" customHeight="false" outlineLevel="0" collapsed="false">
      <c r="A5" s="3" t="s">
        <v>14</v>
      </c>
      <c r="B5" s="3" t="n">
        <f aca="false">COUNTIFS(Results!$A$2:$A$321,$A5)</f>
        <v>32</v>
      </c>
      <c r="C5" s="3" t="n">
        <f aca="false">COUNTIFS(Results!$A$2:$A$321,$A5,Results!$D$2:$D$321,"&lt;&gt;")</f>
        <v>32</v>
      </c>
      <c r="D5" s="4" t="n">
        <f aca="false">IFERROR(SUMIFS(Results!$I$2:$I$321,Results!$A$2:$A$321,$A5)/B5,0)</f>
        <v>0.96875</v>
      </c>
      <c r="E5" s="4" t="n">
        <f aca="false">IFERROR(SUMIFS(Results!$J$2:$J$321,Results!$A$2:$A$321,$A5)/B5,0)</f>
        <v>0.9375</v>
      </c>
      <c r="F5" s="4" t="n">
        <f aca="false">IFERROR(SUMIFS(Results!$K$2:$K$321,Results!$A$2:$A$321,$A5)/B5,0)</f>
        <v>0.90625</v>
      </c>
      <c r="G5" s="3" t="n">
        <f aca="false">SUMIFS(Results!$L$2:$L$321,Results!$A$2:$A$321,$A5)</f>
        <v>0</v>
      </c>
      <c r="H5" s="5" t="n">
        <f aca="false">IFERROR(AVERAGEIFS(Results!$M$2:$M$321,Results!$A$2:$A$321,$A5),0)</f>
        <v>13.081875</v>
      </c>
      <c r="I5" s="6" t="n">
        <f aca="false">SUMIFS(Results!$P$2:$P$321,Results!$A$2:$A$321,$A5)</f>
        <v>0.02158</v>
      </c>
      <c r="J5" s="7" t="n">
        <f aca="false">IFERROR(I5/B5*1000,0)</f>
        <v>0.674375</v>
      </c>
      <c r="K5" s="3" t="n">
        <f aca="false">RANK(D5,$D$3:$D$12)</f>
        <v>2</v>
      </c>
    </row>
    <row r="6" customFormat="false" ht="15" hidden="false" customHeight="false" outlineLevel="0" collapsed="false">
      <c r="A6" s="3" t="s">
        <v>15</v>
      </c>
      <c r="B6" s="3" t="n">
        <f aca="false">COUNTIFS(Results!$A$2:$A$321,$A6)</f>
        <v>32</v>
      </c>
      <c r="C6" s="3" t="n">
        <f aca="false">COUNTIFS(Results!$A$2:$A$321,$A6,Results!$D$2:$D$321,"&lt;&gt;")</f>
        <v>32</v>
      </c>
      <c r="D6" s="4" t="n">
        <f aca="false">IFERROR(SUMIFS(Results!$I$2:$I$321,Results!$A$2:$A$321,$A6)/B6,0)</f>
        <v>0.8125</v>
      </c>
      <c r="E6" s="4" t="n">
        <f aca="false">IFERROR(SUMIFS(Results!$J$2:$J$321,Results!$A$2:$A$321,$A6)/B6,0)</f>
        <v>0.75</v>
      </c>
      <c r="F6" s="4" t="n">
        <f aca="false">IFERROR(SUMIFS(Results!$K$2:$K$321,Results!$A$2:$A$321,$A6)/B6,0)</f>
        <v>0.75</v>
      </c>
      <c r="G6" s="3" t="n">
        <f aca="false">SUMIFS(Results!$L$2:$L$321,Results!$A$2:$A$321,$A6)</f>
        <v>1</v>
      </c>
      <c r="H6" s="5" t="n">
        <f aca="false">IFERROR(AVERAGEIFS(Results!$M$2:$M$321,Results!$A$2:$A$321,$A6),0)</f>
        <v>5.3871875</v>
      </c>
      <c r="I6" s="6" t="n">
        <f aca="false">SUMIFS(Results!$P$2:$P$321,Results!$A$2:$A$321,$A6)</f>
        <v>0.006827</v>
      </c>
      <c r="J6" s="7" t="n">
        <f aca="false">IFERROR(I6/B6*1000,0)</f>
        <v>0.21334375</v>
      </c>
      <c r="K6" s="3" t="n">
        <f aca="false">RANK(D6,$D$3:$D$12)</f>
        <v>10</v>
      </c>
    </row>
    <row r="7" customFormat="false" ht="15" hidden="false" customHeight="false" outlineLevel="0" collapsed="false">
      <c r="A7" s="3" t="s">
        <v>16</v>
      </c>
      <c r="B7" s="3" t="n">
        <f aca="false">COUNTIFS(Results!$A$2:$A$321,$A7)</f>
        <v>32</v>
      </c>
      <c r="C7" s="3" t="n">
        <f aca="false">COUNTIFS(Results!$A$2:$A$321,$A7,Results!$D$2:$D$321,"&lt;&gt;")</f>
        <v>32</v>
      </c>
      <c r="D7" s="4" t="n">
        <f aca="false">IFERROR(SUMIFS(Results!$I$2:$I$321,Results!$A$2:$A$321,$A7)/B7,0)</f>
        <v>0.9375</v>
      </c>
      <c r="E7" s="4" t="n">
        <f aca="false">IFERROR(SUMIFS(Results!$J$2:$J$321,Results!$A$2:$A$321,$A7)/B7,0)</f>
        <v>0.90625</v>
      </c>
      <c r="F7" s="4" t="n">
        <f aca="false">IFERROR(SUMIFS(Results!$K$2:$K$321,Results!$A$2:$A$321,$A7)/B7,0)</f>
        <v>0.84375</v>
      </c>
      <c r="G7" s="3" t="n">
        <f aca="false">SUMIFS(Results!$L$2:$L$321,Results!$A$2:$A$321,$A7)</f>
        <v>0</v>
      </c>
      <c r="H7" s="5" t="n">
        <f aca="false">IFERROR(AVERAGEIFS(Results!$M$2:$M$321,Results!$A$2:$A$321,$A7),0)</f>
        <v>4.924375</v>
      </c>
      <c r="I7" s="6" t="n">
        <f aca="false">SUMIFS(Results!$P$2:$P$321,Results!$A$2:$A$321,$A7)</f>
        <v>0.014472</v>
      </c>
      <c r="J7" s="7" t="n">
        <f aca="false">IFERROR(I7/B7*1000,0)</f>
        <v>0.45225</v>
      </c>
      <c r="K7" s="3" t="n">
        <f aca="false">RANK(D7,$D$3:$D$12)</f>
        <v>5</v>
      </c>
    </row>
    <row r="8" customFormat="false" ht="15" hidden="false" customHeight="false" outlineLevel="0" collapsed="false">
      <c r="A8" s="3" t="s">
        <v>17</v>
      </c>
      <c r="B8" s="3" t="n">
        <f aca="false">COUNTIFS(Results!$A$2:$A$321,$A8)</f>
        <v>32</v>
      </c>
      <c r="C8" s="3" t="n">
        <f aca="false">COUNTIFS(Results!$A$2:$A$321,$A8,Results!$D$2:$D$321,"&lt;&gt;")</f>
        <v>32</v>
      </c>
      <c r="D8" s="4" t="n">
        <f aca="false">IFERROR(SUMIFS(Results!$I$2:$I$321,Results!$A$2:$A$321,$A8)/B8,0)</f>
        <v>0.875</v>
      </c>
      <c r="E8" s="4" t="n">
        <f aca="false">IFERROR(SUMIFS(Results!$J$2:$J$321,Results!$A$2:$A$321,$A8)/B8,0)</f>
        <v>0.875</v>
      </c>
      <c r="F8" s="4" t="n">
        <f aca="false">IFERROR(SUMIFS(Results!$K$2:$K$321,Results!$A$2:$A$321,$A8)/B8,0)</f>
        <v>0.75</v>
      </c>
      <c r="G8" s="3" t="n">
        <f aca="false">SUMIFS(Results!$L$2:$L$321,Results!$A$2:$A$321,$A8)</f>
        <v>0</v>
      </c>
      <c r="H8" s="5" t="n">
        <f aca="false">IFERROR(AVERAGEIFS(Results!$M$2:$M$321,Results!$A$2:$A$321,$A8),0)</f>
        <v>6.5865625</v>
      </c>
      <c r="I8" s="6" t="n">
        <f aca="false">SUMIFS(Results!$P$2:$P$321,Results!$A$2:$A$321,$A8)</f>
        <v>0.018544</v>
      </c>
      <c r="J8" s="7" t="n">
        <f aca="false">IFERROR(I8/B8*1000,0)</f>
        <v>0.5795</v>
      </c>
      <c r="K8" s="3" t="n">
        <f aca="false">RANK(D8,$D$3:$D$12)</f>
        <v>7</v>
      </c>
    </row>
    <row r="9" customFormat="false" ht="15" hidden="false" customHeight="false" outlineLevel="0" collapsed="false">
      <c r="A9" s="3" t="s">
        <v>18</v>
      </c>
      <c r="B9" s="3" t="n">
        <f aca="false">COUNTIFS(Results!$A$2:$A$321,$A9)</f>
        <v>32</v>
      </c>
      <c r="C9" s="3" t="n">
        <f aca="false">COUNTIFS(Results!$A$2:$A$321,$A9,Results!$D$2:$D$321,"&lt;&gt;")</f>
        <v>32</v>
      </c>
      <c r="D9" s="4" t="n">
        <f aca="false">IFERROR(SUMIFS(Results!$I$2:$I$321,Results!$A$2:$A$321,$A9)/B9,0)</f>
        <v>1</v>
      </c>
      <c r="E9" s="4" t="n">
        <f aca="false">IFERROR(SUMIFS(Results!$J$2:$J$321,Results!$A$2:$A$321,$A9)/B9,0)</f>
        <v>0.9375</v>
      </c>
      <c r="F9" s="4" t="n">
        <f aca="false">IFERROR(SUMIFS(Results!$K$2:$K$321,Results!$A$2:$A$321,$A9)/B9,0)</f>
        <v>0.8125</v>
      </c>
      <c r="G9" s="3" t="n">
        <f aca="false">SUMIFS(Results!$L$2:$L$321,Results!$A$2:$A$321,$A9)</f>
        <v>0</v>
      </c>
      <c r="H9" s="5" t="n">
        <f aca="false">IFERROR(AVERAGEIFS(Results!$M$2:$M$321,Results!$A$2:$A$321,$A9),0)</f>
        <v>6.3221875</v>
      </c>
      <c r="I9" s="6" t="n">
        <f aca="false">SUMIFS(Results!$P$2:$P$321,Results!$A$2:$A$321,$A9)</f>
        <v>0.002343</v>
      </c>
      <c r="J9" s="7" t="n">
        <f aca="false">IFERROR(I9/B9*1000,0)</f>
        <v>0.07321875</v>
      </c>
      <c r="K9" s="3" t="n">
        <f aca="false">RANK(D9,$D$3:$D$12)</f>
        <v>1</v>
      </c>
    </row>
    <row r="10" customFormat="false" ht="15" hidden="false" customHeight="false" outlineLevel="0" collapsed="false">
      <c r="A10" s="3" t="s">
        <v>19</v>
      </c>
      <c r="B10" s="3" t="n">
        <f aca="false">COUNTIFS(Results!$A$2:$A$321,$A10)</f>
        <v>32</v>
      </c>
      <c r="C10" s="3" t="n">
        <f aca="false">COUNTIFS(Results!$A$2:$A$321,$A10,Results!$D$2:$D$321,"&lt;&gt;")</f>
        <v>32</v>
      </c>
      <c r="D10" s="4" t="n">
        <f aca="false">IFERROR(SUMIFS(Results!$I$2:$I$321,Results!$A$2:$A$321,$A10)/B10,0)</f>
        <v>0.96875</v>
      </c>
      <c r="E10" s="4" t="n">
        <f aca="false">IFERROR(SUMIFS(Results!$J$2:$J$321,Results!$A$2:$A$321,$A10)/B10,0)</f>
        <v>0.9375</v>
      </c>
      <c r="F10" s="4" t="n">
        <f aca="false">IFERROR(SUMIFS(Results!$K$2:$K$321,Results!$A$2:$A$321,$A10)/B10,0)</f>
        <v>0.875</v>
      </c>
      <c r="G10" s="3" t="n">
        <f aca="false">SUMIFS(Results!$L$2:$L$321,Results!$A$2:$A$321,$A10)</f>
        <v>0</v>
      </c>
      <c r="H10" s="5" t="n">
        <f aca="false">IFERROR(AVERAGEIFS(Results!$M$2:$M$321,Results!$A$2:$A$321,$A10),0)</f>
        <v>5.2515625</v>
      </c>
      <c r="I10" s="6" t="n">
        <f aca="false">SUMIFS(Results!$P$2:$P$321,Results!$A$2:$A$321,$A10)</f>
        <v>0.042116</v>
      </c>
      <c r="J10" s="7" t="n">
        <f aca="false">IFERROR(I10/B10*1000,0)</f>
        <v>1.316125</v>
      </c>
      <c r="K10" s="3" t="n">
        <f aca="false">RANK(D10,$D$3:$D$12)</f>
        <v>2</v>
      </c>
    </row>
    <row r="11" customFormat="false" ht="15" hidden="false" customHeight="false" outlineLevel="0" collapsed="false">
      <c r="A11" s="3" t="s">
        <v>20</v>
      </c>
      <c r="B11" s="3" t="n">
        <f aca="false">COUNTIFS(Results!$A$2:$A$321,$A11)</f>
        <v>32</v>
      </c>
      <c r="C11" s="3" t="n">
        <f aca="false">COUNTIFS(Results!$A$2:$A$321,$A11,Results!$D$2:$D$321,"&lt;&gt;")</f>
        <v>32</v>
      </c>
      <c r="D11" s="4" t="n">
        <f aca="false">IFERROR(SUMIFS(Results!$I$2:$I$321,Results!$A$2:$A$321,$A11)/B11,0)</f>
        <v>0.875</v>
      </c>
      <c r="E11" s="4" t="n">
        <f aca="false">IFERROR(SUMIFS(Results!$J$2:$J$321,Results!$A$2:$A$321,$A11)/B11,0)</f>
        <v>0.84375</v>
      </c>
      <c r="F11" s="4" t="n">
        <f aca="false">IFERROR(SUMIFS(Results!$K$2:$K$321,Results!$A$2:$A$321,$A11)/B11,0)</f>
        <v>0.8125</v>
      </c>
      <c r="G11" s="3" t="n">
        <f aca="false">SUMIFS(Results!$L$2:$L$321,Results!$A$2:$A$321,$A11)</f>
        <v>2</v>
      </c>
      <c r="H11" s="5" t="n">
        <f aca="false">IFERROR(AVERAGEIFS(Results!$M$2:$M$321,Results!$A$2:$A$321,$A11),0)</f>
        <v>8.548125</v>
      </c>
      <c r="I11" s="6" t="n">
        <f aca="false">SUMIFS(Results!$P$2:$P$321,Results!$A$2:$A$321,$A11)</f>
        <v>0.020567</v>
      </c>
      <c r="J11" s="7" t="n">
        <f aca="false">IFERROR(I11/B11*1000,0)</f>
        <v>0.64271875</v>
      </c>
      <c r="K11" s="3" t="n">
        <f aca="false">RANK(D11,$D$3:$D$12)</f>
        <v>7</v>
      </c>
    </row>
    <row r="12" customFormat="false" ht="15" hidden="false" customHeight="false" outlineLevel="0" collapsed="false">
      <c r="A12" s="3" t="s">
        <v>21</v>
      </c>
      <c r="B12" s="3" t="n">
        <f aca="false">COUNTIFS(Results!$A$2:$A$321,$A12)</f>
        <v>32</v>
      </c>
      <c r="C12" s="3" t="n">
        <f aca="false">COUNTIFS(Results!$A$2:$A$321,$A12,Results!$D$2:$D$321,"&lt;&gt;")</f>
        <v>32</v>
      </c>
      <c r="D12" s="4" t="n">
        <f aca="false">IFERROR(SUMIFS(Results!$I$2:$I$321,Results!$A$2:$A$321,$A12)/B12,0)</f>
        <v>0.84375</v>
      </c>
      <c r="E12" s="4" t="n">
        <f aca="false">IFERROR(SUMIFS(Results!$J$2:$J$321,Results!$A$2:$A$321,$A12)/B12,0)</f>
        <v>0.78125</v>
      </c>
      <c r="F12" s="4" t="n">
        <f aca="false">IFERROR(SUMIFS(Results!$K$2:$K$321,Results!$A$2:$A$321,$A12)/B12,0)</f>
        <v>0.6875</v>
      </c>
      <c r="G12" s="3" t="n">
        <f aca="false">SUMIFS(Results!$L$2:$L$321,Results!$A$2:$A$321,$A12)</f>
        <v>2</v>
      </c>
      <c r="H12" s="5" t="n">
        <f aca="false">IFERROR(AVERAGEIFS(Results!$M$2:$M$321,Results!$A$2:$A$321,$A12),0)</f>
        <v>5.0753125</v>
      </c>
      <c r="I12" s="6" t="n">
        <f aca="false">SUMIFS(Results!$P$2:$P$321,Results!$A$2:$A$321,$A12)</f>
        <v>0.008079</v>
      </c>
      <c r="J12" s="7" t="n">
        <f aca="false">IFERROR(I12/B12*1000,0)</f>
        <v>0.25246875</v>
      </c>
      <c r="K12" s="3" t="n">
        <f aca="false">RANK(D12,$D$3:$D$12)</f>
        <v>9</v>
      </c>
    </row>
    <row r="14" customFormat="false" ht="15" hidden="false" customHeight="false" outlineLevel="0" collapsed="false">
      <c r="A14" s="8" t="s">
        <v>22</v>
      </c>
    </row>
    <row r="15" customFormat="false" ht="15" hidden="false" customHeight="false" outlineLevel="0" collapsed="false">
      <c r="A15" s="8" t="s">
        <v>23</v>
      </c>
    </row>
    <row r="16" customFormat="false" ht="15" hidden="false" customHeight="false" outlineLevel="0" collapsed="false">
      <c r="A16" s="8" t="s">
        <v>24</v>
      </c>
    </row>
  </sheetData>
  <conditionalFormatting sqref="D3:D12">
    <cfRule type="colorScale" priority="2">
      <colorScale>
        <cfvo type="min" val="0"/>
        <cfvo type="max" val="0"/>
        <color rgb="FFF8696B"/>
        <color rgb="FF63BE7B"/>
      </colorScale>
    </cfRule>
  </conditionalFormatting>
  <conditionalFormatting sqref="G3:G12">
    <cfRule type="colorScale" priority="3">
      <colorScale>
        <cfvo type="min" val="0"/>
        <cfvo type="max" val="0"/>
        <color rgb="FF63BE7B"/>
        <color rgb="FFF8696B"/>
      </colorScale>
    </cfRule>
  </conditionalFormatting>
  <conditionalFormatting sqref="J3:J12">
    <cfRule type="colorScale" priority="4">
      <colorScale>
        <cfvo type="min" val="0"/>
        <cfvo type="max" val="0"/>
        <color rgb="FF63BE7B"/>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6" min="3" style="0" width="14"/>
  </cols>
  <sheetData>
    <row r="1" customFormat="false" ht="15" hidden="false" customHeight="false" outlineLevel="0" collapsed="false">
      <c r="A1" s="9" t="s">
        <v>25</v>
      </c>
    </row>
    <row r="2" customFormat="false" ht="15" hidden="false" customHeight="false" outlineLevel="0" collapsed="false">
      <c r="A2" s="9" t="s">
        <v>26</v>
      </c>
      <c r="B2" s="0" t="s">
        <v>27</v>
      </c>
    </row>
    <row r="3" customFormat="false" ht="15" hidden="false" customHeight="false" outlineLevel="0" collapsed="false">
      <c r="A3" s="3" t="s">
        <v>28</v>
      </c>
      <c r="B3" s="10" t="n">
        <v>3</v>
      </c>
    </row>
    <row r="4" customFormat="false" ht="15" hidden="false" customHeight="false" outlineLevel="0" collapsed="false">
      <c r="A4" s="3" t="s">
        <v>29</v>
      </c>
      <c r="B4" s="10" t="n">
        <v>7</v>
      </c>
    </row>
    <row r="6" customFormat="false" ht="15" hidden="false" customHeight="true" outlineLevel="0" collapsed="false">
      <c r="A6" s="11"/>
      <c r="B6" s="11"/>
      <c r="C6" s="11"/>
      <c r="D6" s="11"/>
      <c r="E6" s="11"/>
      <c r="F6" s="11"/>
    </row>
    <row r="7" customFormat="false" ht="15" hidden="false" customHeight="true" outlineLevel="0" collapsed="false">
      <c r="A7" s="12" t="s">
        <v>30</v>
      </c>
      <c r="B7" s="12"/>
      <c r="C7" s="12"/>
      <c r="D7" s="12"/>
      <c r="E7" s="12"/>
      <c r="F7" s="12"/>
    </row>
    <row r="8" customFormat="false" ht="45" hidden="false" customHeight="true" outlineLevel="0" collapsed="false">
      <c r="A8" s="11" t="s">
        <v>31</v>
      </c>
      <c r="B8" s="11"/>
      <c r="C8" s="11"/>
      <c r="D8" s="11"/>
      <c r="E8" s="11"/>
      <c r="F8" s="11"/>
    </row>
    <row r="9" customFormat="false" ht="45" hidden="false" customHeight="true" outlineLevel="0" collapsed="false">
      <c r="A9" s="11" t="s">
        <v>32</v>
      </c>
      <c r="B9" s="11"/>
      <c r="C9" s="11"/>
      <c r="D9" s="11"/>
      <c r="E9" s="11"/>
      <c r="F9" s="11"/>
    </row>
    <row r="10" customFormat="false" ht="45" hidden="false" customHeight="true" outlineLevel="0" collapsed="false">
      <c r="A10" s="11" t="s">
        <v>33</v>
      </c>
      <c r="B10" s="11"/>
      <c r="C10" s="11"/>
      <c r="D10" s="11"/>
      <c r="E10" s="11"/>
      <c r="F10" s="11"/>
    </row>
    <row r="11" customFormat="false" ht="45" hidden="false" customHeight="true" outlineLevel="0" collapsed="false">
      <c r="A11" s="11" t="s">
        <v>34</v>
      </c>
      <c r="B11" s="11"/>
      <c r="C11" s="11"/>
      <c r="D11" s="11"/>
      <c r="E11" s="11"/>
      <c r="F11" s="11"/>
    </row>
    <row r="12" customFormat="false" ht="45" hidden="false" customHeight="true" outlineLevel="0" collapsed="false">
      <c r="A12" s="11" t="s">
        <v>35</v>
      </c>
      <c r="B12" s="11"/>
      <c r="C12" s="11"/>
      <c r="D12" s="11"/>
      <c r="E12" s="11"/>
      <c r="F12" s="11"/>
    </row>
    <row r="13" customFormat="false" ht="45" hidden="false" customHeight="true" outlineLevel="0" collapsed="false">
      <c r="A13" s="11" t="s">
        <v>36</v>
      </c>
      <c r="B13" s="11"/>
      <c r="C13" s="11"/>
      <c r="D13" s="11"/>
      <c r="E13" s="11"/>
      <c r="F13" s="11"/>
    </row>
    <row r="14" customFormat="false" ht="15" hidden="false" customHeight="true" outlineLevel="0" collapsed="false">
      <c r="A14" s="11" t="s">
        <v>37</v>
      </c>
      <c r="B14" s="11"/>
      <c r="C14" s="11"/>
      <c r="D14" s="11"/>
      <c r="E14" s="11"/>
      <c r="F14" s="11"/>
    </row>
    <row r="15" customFormat="false" ht="15" hidden="false" customHeight="true" outlineLevel="0" collapsed="false">
      <c r="A15" s="11" t="s">
        <v>38</v>
      </c>
      <c r="B15" s="11"/>
      <c r="C15" s="11"/>
      <c r="D15" s="11"/>
      <c r="E15" s="11"/>
      <c r="F15" s="11"/>
    </row>
  </sheetData>
  <mergeCells count="10">
    <mergeCell ref="A6:F6"/>
    <mergeCell ref="A7:F7"/>
    <mergeCell ref="A8:F8"/>
    <mergeCell ref="A9:F9"/>
    <mergeCell ref="A10:F10"/>
    <mergeCell ref="A11:F11"/>
    <mergeCell ref="A12:F12"/>
    <mergeCell ref="A13:F13"/>
    <mergeCell ref="A14:F14"/>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70"/>
    <col collapsed="false" customWidth="true" hidden="false" outlineLevel="0" max="5" min="4" style="0" width="10"/>
    <col collapsed="false" customWidth="true" hidden="false" outlineLevel="0" max="8" min="6" style="0" width="12"/>
  </cols>
  <sheetData>
    <row r="1" customFormat="false" ht="39.55" hidden="false" customHeight="false" outlineLevel="0" collapsed="false">
      <c r="A1" s="2" t="s">
        <v>39</v>
      </c>
      <c r="B1" s="2" t="s">
        <v>40</v>
      </c>
      <c r="C1" s="2" t="s">
        <v>41</v>
      </c>
      <c r="D1" s="2" t="s">
        <v>42</v>
      </c>
      <c r="E1" s="2" t="s">
        <v>43</v>
      </c>
      <c r="F1" s="2" t="s">
        <v>44</v>
      </c>
      <c r="G1" s="2" t="s">
        <v>45</v>
      </c>
      <c r="H1" s="2" t="s">
        <v>46</v>
      </c>
    </row>
    <row r="2" customFormat="false" ht="15" hidden="false" customHeight="false" outlineLevel="0" collapsed="false">
      <c r="A2" s="3" t="n">
        <v>1</v>
      </c>
      <c r="B2" s="3" t="s">
        <v>47</v>
      </c>
      <c r="C2" s="13" t="s">
        <v>48</v>
      </c>
      <c r="D2" s="10" t="n">
        <v>1</v>
      </c>
      <c r="E2" s="10" t="n">
        <v>2</v>
      </c>
      <c r="F2" s="10" t="s">
        <v>49</v>
      </c>
      <c r="G2" s="3" t="str">
        <f aca="false">IF(D2&lt;=Settings!$B$3,"simple",IF(D2&lt;=Settings!$B$4,"coding","critical"))</f>
        <v>simple</v>
      </c>
      <c r="H2" s="3" t="str">
        <f aca="false">IF(E2&lt;=Settings!$B$3,"simple",IF(E2&lt;=Settings!$B$4,"coding","critical"))</f>
        <v>simple</v>
      </c>
    </row>
    <row r="3" customFormat="false" ht="15" hidden="false" customHeight="false" outlineLevel="0" collapsed="false">
      <c r="A3" s="3" t="n">
        <v>2</v>
      </c>
      <c r="B3" s="3" t="s">
        <v>50</v>
      </c>
      <c r="C3" s="13" t="s">
        <v>51</v>
      </c>
      <c r="D3" s="10" t="n">
        <v>1</v>
      </c>
      <c r="E3" s="10" t="n">
        <v>2</v>
      </c>
      <c r="F3" s="10" t="s">
        <v>49</v>
      </c>
      <c r="G3" s="3" t="str">
        <f aca="false">IF(D3&lt;=Settings!$B$3,"simple",IF(D3&lt;=Settings!$B$4,"coding","critical"))</f>
        <v>simple</v>
      </c>
      <c r="H3" s="3" t="str">
        <f aca="false">IF(E3&lt;=Settings!$B$3,"simple",IF(E3&lt;=Settings!$B$4,"coding","critical"))</f>
        <v>simple</v>
      </c>
    </row>
    <row r="4" customFormat="false" ht="15" hidden="false" customHeight="false" outlineLevel="0" collapsed="false">
      <c r="A4" s="3" t="n">
        <v>3</v>
      </c>
      <c r="B4" s="3" t="s">
        <v>50</v>
      </c>
      <c r="C4" s="13" t="s">
        <v>52</v>
      </c>
      <c r="D4" s="10" t="n">
        <v>1</v>
      </c>
      <c r="E4" s="10" t="n">
        <v>2</v>
      </c>
      <c r="F4" s="10" t="s">
        <v>53</v>
      </c>
      <c r="G4" s="3" t="str">
        <f aca="false">IF(D4&lt;=Settings!$B$3,"simple",IF(D4&lt;=Settings!$B$4,"coding","critical"))</f>
        <v>simple</v>
      </c>
      <c r="H4" s="3" t="str">
        <f aca="false">IF(E4&lt;=Settings!$B$3,"simple",IF(E4&lt;=Settings!$B$4,"coding","critical"))</f>
        <v>simple</v>
      </c>
    </row>
    <row r="5" customFormat="false" ht="15" hidden="false" customHeight="false" outlineLevel="0" collapsed="false">
      <c r="A5" s="3" t="n">
        <v>4</v>
      </c>
      <c r="B5" s="3" t="s">
        <v>54</v>
      </c>
      <c r="C5" s="13" t="s">
        <v>55</v>
      </c>
      <c r="D5" s="10" t="n">
        <v>1</v>
      </c>
      <c r="E5" s="10" t="n">
        <v>2</v>
      </c>
      <c r="F5" s="10" t="s">
        <v>56</v>
      </c>
      <c r="G5" s="3" t="str">
        <f aca="false">IF(D5&lt;=Settings!$B$3,"simple",IF(D5&lt;=Settings!$B$4,"coding","critical"))</f>
        <v>simple</v>
      </c>
      <c r="H5" s="3" t="str">
        <f aca="false">IF(E5&lt;=Settings!$B$3,"simple",IF(E5&lt;=Settings!$B$4,"coding","critical"))</f>
        <v>simple</v>
      </c>
    </row>
    <row r="6" customFormat="false" ht="15" hidden="false" customHeight="false" outlineLevel="0" collapsed="false">
      <c r="A6" s="3" t="n">
        <v>5</v>
      </c>
      <c r="B6" s="3" t="s">
        <v>54</v>
      </c>
      <c r="C6" s="13" t="s">
        <v>57</v>
      </c>
      <c r="D6" s="10" t="n">
        <v>1</v>
      </c>
      <c r="E6" s="10" t="n">
        <v>2</v>
      </c>
      <c r="F6" s="10" t="s">
        <v>58</v>
      </c>
      <c r="G6" s="3" t="str">
        <f aca="false">IF(D6&lt;=Settings!$B$3,"simple",IF(D6&lt;=Settings!$B$4,"coding","critical"))</f>
        <v>simple</v>
      </c>
      <c r="H6" s="3" t="str">
        <f aca="false">IF(E6&lt;=Settings!$B$3,"simple",IF(E6&lt;=Settings!$B$4,"coding","critical"))</f>
        <v>simple</v>
      </c>
    </row>
    <row r="7" customFormat="false" ht="15" hidden="false" customHeight="false" outlineLevel="0" collapsed="false">
      <c r="A7" s="3" t="n">
        <v>6</v>
      </c>
      <c r="B7" s="3" t="s">
        <v>59</v>
      </c>
      <c r="C7" s="13" t="s">
        <v>60</v>
      </c>
      <c r="D7" s="10" t="n">
        <v>1</v>
      </c>
      <c r="E7" s="10" t="n">
        <v>2</v>
      </c>
      <c r="F7" s="10" t="s">
        <v>49</v>
      </c>
      <c r="G7" s="3" t="str">
        <f aca="false">IF(D7&lt;=Settings!$B$3,"simple",IF(D7&lt;=Settings!$B$4,"coding","critical"))</f>
        <v>simple</v>
      </c>
      <c r="H7" s="3" t="str">
        <f aca="false">IF(E7&lt;=Settings!$B$3,"simple",IF(E7&lt;=Settings!$B$4,"coding","critical"))</f>
        <v>simple</v>
      </c>
    </row>
    <row r="8" customFormat="false" ht="15" hidden="false" customHeight="false" outlineLevel="0" collapsed="false">
      <c r="A8" s="3" t="n">
        <v>7</v>
      </c>
      <c r="B8" s="3" t="s">
        <v>61</v>
      </c>
      <c r="C8" s="13" t="s">
        <v>62</v>
      </c>
      <c r="D8" s="10" t="n">
        <v>1</v>
      </c>
      <c r="E8" s="10" t="n">
        <v>3</v>
      </c>
      <c r="F8" s="10" t="s">
        <v>49</v>
      </c>
      <c r="G8" s="3" t="str">
        <f aca="false">IF(D8&lt;=Settings!$B$3,"simple",IF(D8&lt;=Settings!$B$4,"coding","critical"))</f>
        <v>simple</v>
      </c>
      <c r="H8" s="3" t="str">
        <f aca="false">IF(E8&lt;=Settings!$B$3,"simple",IF(E8&lt;=Settings!$B$4,"coding","critical"))</f>
        <v>simple</v>
      </c>
    </row>
    <row r="9" customFormat="false" ht="15" hidden="false" customHeight="false" outlineLevel="0" collapsed="false">
      <c r="A9" s="3" t="n">
        <v>8</v>
      </c>
      <c r="B9" s="3" t="s">
        <v>61</v>
      </c>
      <c r="C9" s="13" t="s">
        <v>63</v>
      </c>
      <c r="D9" s="10" t="n">
        <v>2</v>
      </c>
      <c r="E9" s="10" t="n">
        <v>3</v>
      </c>
      <c r="F9" s="10" t="s">
        <v>49</v>
      </c>
      <c r="G9" s="3" t="str">
        <f aca="false">IF(D9&lt;=Settings!$B$3,"simple",IF(D9&lt;=Settings!$B$4,"coding","critical"))</f>
        <v>simple</v>
      </c>
      <c r="H9" s="3" t="str">
        <f aca="false">IF(E9&lt;=Settings!$B$3,"simple",IF(E9&lt;=Settings!$B$4,"coding","critical"))</f>
        <v>simple</v>
      </c>
    </row>
    <row r="10" customFormat="false" ht="15" hidden="false" customHeight="false" outlineLevel="0" collapsed="false">
      <c r="A10" s="3" t="n">
        <v>9</v>
      </c>
      <c r="B10" s="3" t="s">
        <v>64</v>
      </c>
      <c r="C10" s="13" t="s">
        <v>65</v>
      </c>
      <c r="D10" s="10" t="n">
        <v>2</v>
      </c>
      <c r="E10" s="10" t="n">
        <v>3</v>
      </c>
      <c r="F10" s="10" t="s">
        <v>49</v>
      </c>
      <c r="G10" s="3" t="str">
        <f aca="false">IF(D10&lt;=Settings!$B$3,"simple",IF(D10&lt;=Settings!$B$4,"coding","critical"))</f>
        <v>simple</v>
      </c>
      <c r="H10" s="3" t="str">
        <f aca="false">IF(E10&lt;=Settings!$B$3,"simple",IF(E10&lt;=Settings!$B$4,"coding","critical"))</f>
        <v>simple</v>
      </c>
    </row>
    <row r="11" customFormat="false" ht="15" hidden="false" customHeight="false" outlineLevel="0" collapsed="false">
      <c r="A11" s="3" t="n">
        <v>10</v>
      </c>
      <c r="B11" s="3" t="s">
        <v>64</v>
      </c>
      <c r="C11" s="13" t="s">
        <v>66</v>
      </c>
      <c r="D11" s="10" t="n">
        <v>2</v>
      </c>
      <c r="E11" s="10" t="n">
        <v>3</v>
      </c>
      <c r="F11" s="10" t="s">
        <v>49</v>
      </c>
      <c r="G11" s="3" t="str">
        <f aca="false">IF(D11&lt;=Settings!$B$3,"simple",IF(D11&lt;=Settings!$B$4,"coding","critical"))</f>
        <v>simple</v>
      </c>
      <c r="H11" s="3" t="str">
        <f aca="false">IF(E11&lt;=Settings!$B$3,"simple",IF(E11&lt;=Settings!$B$4,"coding","critical"))</f>
        <v>simple</v>
      </c>
    </row>
    <row r="12" customFormat="false" ht="15" hidden="false" customHeight="false" outlineLevel="0" collapsed="false">
      <c r="A12" s="3" t="n">
        <v>11</v>
      </c>
      <c r="B12" s="3" t="s">
        <v>67</v>
      </c>
      <c r="C12" s="13" t="s">
        <v>68</v>
      </c>
      <c r="D12" s="10" t="n">
        <v>1</v>
      </c>
      <c r="E12" s="10" t="n">
        <v>3</v>
      </c>
      <c r="F12" s="10" t="s">
        <v>69</v>
      </c>
      <c r="G12" s="3" t="str">
        <f aca="false">IF(D12&lt;=Settings!$B$3,"simple",IF(D12&lt;=Settings!$B$4,"coding","critical"))</f>
        <v>simple</v>
      </c>
      <c r="H12" s="3" t="str">
        <f aca="false">IF(E12&lt;=Settings!$B$3,"simple",IF(E12&lt;=Settings!$B$4,"coding","critical"))</f>
        <v>simple</v>
      </c>
    </row>
    <row r="13" customFormat="false" ht="15" hidden="false" customHeight="false" outlineLevel="0" collapsed="false">
      <c r="A13" s="3" t="n">
        <v>12</v>
      </c>
      <c r="B13" s="3" t="s">
        <v>67</v>
      </c>
      <c r="C13" s="13" t="s">
        <v>70</v>
      </c>
      <c r="D13" s="10" t="n">
        <v>2</v>
      </c>
      <c r="E13" s="10" t="n">
        <v>4</v>
      </c>
      <c r="F13" s="10" t="s">
        <v>69</v>
      </c>
      <c r="G13" s="3" t="str">
        <f aca="false">IF(D13&lt;=Settings!$B$3,"simple",IF(D13&lt;=Settings!$B$4,"coding","critical"))</f>
        <v>simple</v>
      </c>
      <c r="H13" s="3" t="str">
        <f aca="false">IF(E13&lt;=Settings!$B$3,"simple",IF(E13&lt;=Settings!$B$4,"coding","critical"))</f>
        <v>coding</v>
      </c>
    </row>
    <row r="14" customFormat="false" ht="15" hidden="false" customHeight="false" outlineLevel="0" collapsed="false">
      <c r="A14" s="3" t="n">
        <v>13</v>
      </c>
      <c r="B14" s="3" t="s">
        <v>71</v>
      </c>
      <c r="C14" s="13" t="s">
        <v>72</v>
      </c>
      <c r="D14" s="10" t="n">
        <v>3</v>
      </c>
      <c r="E14" s="10" t="n">
        <v>4</v>
      </c>
      <c r="F14" s="10" t="s">
        <v>49</v>
      </c>
      <c r="G14" s="3" t="str">
        <f aca="false">IF(D14&lt;=Settings!$B$3,"simple",IF(D14&lt;=Settings!$B$4,"coding","critical"))</f>
        <v>simple</v>
      </c>
      <c r="H14" s="3" t="str">
        <f aca="false">IF(E14&lt;=Settings!$B$3,"simple",IF(E14&lt;=Settings!$B$4,"coding","critical"))</f>
        <v>coding</v>
      </c>
    </row>
    <row r="15" customFormat="false" ht="15" hidden="false" customHeight="false" outlineLevel="0" collapsed="false">
      <c r="A15" s="3" t="n">
        <v>14</v>
      </c>
      <c r="B15" s="3" t="s">
        <v>73</v>
      </c>
      <c r="C15" s="13" t="s">
        <v>74</v>
      </c>
      <c r="D15" s="10" t="n">
        <v>2</v>
      </c>
      <c r="E15" s="10" t="n">
        <v>4</v>
      </c>
      <c r="F15" s="10" t="s">
        <v>53</v>
      </c>
      <c r="G15" s="3" t="str">
        <f aca="false">IF(D15&lt;=Settings!$B$3,"simple",IF(D15&lt;=Settings!$B$4,"coding","critical"))</f>
        <v>simple</v>
      </c>
      <c r="H15" s="3" t="str">
        <f aca="false">IF(E15&lt;=Settings!$B$3,"simple",IF(E15&lt;=Settings!$B$4,"coding","critical"))</f>
        <v>coding</v>
      </c>
    </row>
    <row r="16" customFormat="false" ht="26.85" hidden="false" customHeight="false" outlineLevel="0" collapsed="false">
      <c r="A16" s="3" t="n">
        <v>15</v>
      </c>
      <c r="B16" s="3" t="s">
        <v>75</v>
      </c>
      <c r="C16" s="13" t="s">
        <v>76</v>
      </c>
      <c r="D16" s="10" t="n">
        <v>3</v>
      </c>
      <c r="E16" s="10" t="n">
        <v>5</v>
      </c>
      <c r="F16" s="10" t="s">
        <v>49</v>
      </c>
      <c r="G16" s="3" t="str">
        <f aca="false">IF(D16&lt;=Settings!$B$3,"simple",IF(D16&lt;=Settings!$B$4,"coding","critical"))</f>
        <v>simple</v>
      </c>
      <c r="H16" s="3" t="str">
        <f aca="false">IF(E16&lt;=Settings!$B$3,"simple",IF(E16&lt;=Settings!$B$4,"coding","critical"))</f>
        <v>coding</v>
      </c>
    </row>
    <row r="17" customFormat="false" ht="26.85" hidden="false" customHeight="false" outlineLevel="0" collapsed="false">
      <c r="A17" s="3" t="n">
        <v>16</v>
      </c>
      <c r="B17" s="3" t="s">
        <v>77</v>
      </c>
      <c r="C17" s="13" t="s">
        <v>78</v>
      </c>
      <c r="D17" s="10" t="n">
        <v>3</v>
      </c>
      <c r="E17" s="10" t="n">
        <v>5</v>
      </c>
      <c r="F17" s="10" t="s">
        <v>49</v>
      </c>
      <c r="G17" s="3" t="str">
        <f aca="false">IF(D17&lt;=Settings!$B$3,"simple",IF(D17&lt;=Settings!$B$4,"coding","critical"))</f>
        <v>simple</v>
      </c>
      <c r="H17" s="3" t="str">
        <f aca="false">IF(E17&lt;=Settings!$B$3,"simple",IF(E17&lt;=Settings!$B$4,"coding","critical"))</f>
        <v>coding</v>
      </c>
    </row>
    <row r="18" customFormat="false" ht="26.85" hidden="false" customHeight="false" outlineLevel="0" collapsed="false">
      <c r="A18" s="3" t="n">
        <v>17</v>
      </c>
      <c r="B18" s="3" t="s">
        <v>79</v>
      </c>
      <c r="C18" s="13" t="s">
        <v>80</v>
      </c>
      <c r="D18" s="10" t="n">
        <v>3</v>
      </c>
      <c r="E18" s="10" t="n">
        <v>5</v>
      </c>
      <c r="F18" s="10" t="s">
        <v>81</v>
      </c>
      <c r="G18" s="3" t="str">
        <f aca="false">IF(D18&lt;=Settings!$B$3,"simple",IF(D18&lt;=Settings!$B$4,"coding","critical"))</f>
        <v>simple</v>
      </c>
      <c r="H18" s="3" t="str">
        <f aca="false">IF(E18&lt;=Settings!$B$3,"simple",IF(E18&lt;=Settings!$B$4,"coding","critical"))</f>
        <v>coding</v>
      </c>
    </row>
    <row r="19" customFormat="false" ht="26.85" hidden="false" customHeight="false" outlineLevel="0" collapsed="false">
      <c r="A19" s="3" t="n">
        <v>18</v>
      </c>
      <c r="B19" s="3" t="s">
        <v>82</v>
      </c>
      <c r="C19" s="13" t="s">
        <v>83</v>
      </c>
      <c r="D19" s="10" t="n">
        <v>4</v>
      </c>
      <c r="E19" s="10" t="n">
        <v>6</v>
      </c>
      <c r="F19" s="10" t="s">
        <v>49</v>
      </c>
      <c r="G19" s="3" t="str">
        <f aca="false">IF(D19&lt;=Settings!$B$3,"simple",IF(D19&lt;=Settings!$B$4,"coding","critical"))</f>
        <v>coding</v>
      </c>
      <c r="H19" s="3" t="str">
        <f aca="false">IF(E19&lt;=Settings!$B$3,"simple",IF(E19&lt;=Settings!$B$4,"coding","critical"))</f>
        <v>coding</v>
      </c>
    </row>
    <row r="20" customFormat="false" ht="26.85" hidden="false" customHeight="false" outlineLevel="0" collapsed="false">
      <c r="A20" s="3" t="n">
        <v>19</v>
      </c>
      <c r="B20" s="3" t="s">
        <v>82</v>
      </c>
      <c r="C20" s="13" t="s">
        <v>84</v>
      </c>
      <c r="D20" s="10" t="n">
        <v>4</v>
      </c>
      <c r="E20" s="10" t="n">
        <v>6</v>
      </c>
      <c r="F20" s="10" t="s">
        <v>49</v>
      </c>
      <c r="G20" s="3" t="str">
        <f aca="false">IF(D20&lt;=Settings!$B$3,"simple",IF(D20&lt;=Settings!$B$4,"coding","critical"))</f>
        <v>coding</v>
      </c>
      <c r="H20" s="3" t="str">
        <f aca="false">IF(E20&lt;=Settings!$B$3,"simple",IF(E20&lt;=Settings!$B$4,"coding","critical"))</f>
        <v>coding</v>
      </c>
    </row>
    <row r="21" customFormat="false" ht="26.85" hidden="false" customHeight="false" outlineLevel="0" collapsed="false">
      <c r="A21" s="3" t="n">
        <v>20</v>
      </c>
      <c r="B21" s="3" t="s">
        <v>85</v>
      </c>
      <c r="C21" s="13" t="s">
        <v>86</v>
      </c>
      <c r="D21" s="10" t="n">
        <v>4</v>
      </c>
      <c r="E21" s="10" t="n">
        <v>6</v>
      </c>
      <c r="F21" s="10" t="s">
        <v>49</v>
      </c>
      <c r="G21" s="3" t="str">
        <f aca="false">IF(D21&lt;=Settings!$B$3,"simple",IF(D21&lt;=Settings!$B$4,"coding","critical"))</f>
        <v>coding</v>
      </c>
      <c r="H21" s="3" t="str">
        <f aca="false">IF(E21&lt;=Settings!$B$3,"simple",IF(E21&lt;=Settings!$B$4,"coding","critical"))</f>
        <v>coding</v>
      </c>
    </row>
    <row r="22" customFormat="false" ht="26.85" hidden="false" customHeight="false" outlineLevel="0" collapsed="false">
      <c r="A22" s="3" t="n">
        <v>21</v>
      </c>
      <c r="B22" s="3" t="s">
        <v>87</v>
      </c>
      <c r="C22" s="13" t="s">
        <v>88</v>
      </c>
      <c r="D22" s="10" t="n">
        <v>3</v>
      </c>
      <c r="E22" s="10" t="n">
        <v>5</v>
      </c>
      <c r="F22" s="10" t="s">
        <v>56</v>
      </c>
      <c r="G22" s="3" t="str">
        <f aca="false">IF(D22&lt;=Settings!$B$3,"simple",IF(D22&lt;=Settings!$B$4,"coding","critical"))</f>
        <v>simple</v>
      </c>
      <c r="H22" s="3" t="str">
        <f aca="false">IF(E22&lt;=Settings!$B$3,"simple",IF(E22&lt;=Settings!$B$4,"coding","critical"))</f>
        <v>coding</v>
      </c>
    </row>
    <row r="23" customFormat="false" ht="15" hidden="false" customHeight="false" outlineLevel="0" collapsed="false">
      <c r="A23" s="3" t="n">
        <v>22</v>
      </c>
      <c r="B23" s="3" t="s">
        <v>89</v>
      </c>
      <c r="C23" s="13" t="s">
        <v>90</v>
      </c>
      <c r="D23" s="10" t="n">
        <v>4</v>
      </c>
      <c r="E23" s="10" t="n">
        <v>6</v>
      </c>
      <c r="F23" s="10" t="s">
        <v>58</v>
      </c>
      <c r="G23" s="3" t="str">
        <f aca="false">IF(D23&lt;=Settings!$B$3,"simple",IF(D23&lt;=Settings!$B$4,"coding","critical"))</f>
        <v>coding</v>
      </c>
      <c r="H23" s="3" t="str">
        <f aca="false">IF(E23&lt;=Settings!$B$3,"simple",IF(E23&lt;=Settings!$B$4,"coding","critical"))</f>
        <v>coding</v>
      </c>
    </row>
    <row r="24" customFormat="false" ht="26.85" hidden="false" customHeight="false" outlineLevel="0" collapsed="false">
      <c r="A24" s="3" t="n">
        <v>23</v>
      </c>
      <c r="B24" s="3" t="s">
        <v>91</v>
      </c>
      <c r="C24" s="13" t="s">
        <v>92</v>
      </c>
      <c r="D24" s="10" t="n">
        <v>5</v>
      </c>
      <c r="E24" s="10" t="n">
        <v>6</v>
      </c>
      <c r="F24" s="10" t="s">
        <v>49</v>
      </c>
      <c r="G24" s="3" t="str">
        <f aca="false">IF(D24&lt;=Settings!$B$3,"simple",IF(D24&lt;=Settings!$B$4,"coding","critical"))</f>
        <v>coding</v>
      </c>
      <c r="H24" s="3" t="str">
        <f aca="false">IF(E24&lt;=Settings!$B$3,"simple",IF(E24&lt;=Settings!$B$4,"coding","critical"))</f>
        <v>coding</v>
      </c>
    </row>
    <row r="25" customFormat="false" ht="26.85" hidden="false" customHeight="false" outlineLevel="0" collapsed="false">
      <c r="A25" s="3" t="n">
        <v>24</v>
      </c>
      <c r="B25" s="3" t="s">
        <v>93</v>
      </c>
      <c r="C25" s="13" t="s">
        <v>94</v>
      </c>
      <c r="D25" s="10" t="n">
        <v>5</v>
      </c>
      <c r="E25" s="10" t="n">
        <v>7</v>
      </c>
      <c r="F25" s="10" t="s">
        <v>49</v>
      </c>
      <c r="G25" s="3" t="str">
        <f aca="false">IF(D25&lt;=Settings!$B$3,"simple",IF(D25&lt;=Settings!$B$4,"coding","critical"))</f>
        <v>coding</v>
      </c>
      <c r="H25" s="3" t="str">
        <f aca="false">IF(E25&lt;=Settings!$B$3,"simple",IF(E25&lt;=Settings!$B$4,"coding","critical"))</f>
        <v>coding</v>
      </c>
    </row>
    <row r="26" customFormat="false" ht="26.85" hidden="false" customHeight="false" outlineLevel="0" collapsed="false">
      <c r="A26" s="3" t="n">
        <v>25</v>
      </c>
      <c r="B26" s="3" t="s">
        <v>95</v>
      </c>
      <c r="C26" s="13" t="s">
        <v>96</v>
      </c>
      <c r="D26" s="10" t="n">
        <v>5</v>
      </c>
      <c r="E26" s="10" t="n">
        <v>7</v>
      </c>
      <c r="F26" s="10" t="s">
        <v>49</v>
      </c>
      <c r="G26" s="3" t="str">
        <f aca="false">IF(D26&lt;=Settings!$B$3,"simple",IF(D26&lt;=Settings!$B$4,"coding","critical"))</f>
        <v>coding</v>
      </c>
      <c r="H26" s="3" t="str">
        <f aca="false">IF(E26&lt;=Settings!$B$3,"simple",IF(E26&lt;=Settings!$B$4,"coding","critical"))</f>
        <v>coding</v>
      </c>
    </row>
    <row r="27" customFormat="false" ht="15" hidden="false" customHeight="false" outlineLevel="0" collapsed="false">
      <c r="A27" s="3" t="n">
        <v>26</v>
      </c>
      <c r="B27" s="3" t="s">
        <v>97</v>
      </c>
      <c r="C27" s="13" t="s">
        <v>98</v>
      </c>
      <c r="D27" s="10" t="n">
        <v>5</v>
      </c>
      <c r="E27" s="10" t="n">
        <v>6</v>
      </c>
      <c r="F27" s="10" t="s">
        <v>49</v>
      </c>
      <c r="G27" s="3" t="str">
        <f aca="false">IF(D27&lt;=Settings!$B$3,"simple",IF(D27&lt;=Settings!$B$4,"coding","critical"))</f>
        <v>coding</v>
      </c>
      <c r="H27" s="3" t="str">
        <f aca="false">IF(E27&lt;=Settings!$B$3,"simple",IF(E27&lt;=Settings!$B$4,"coding","critical"))</f>
        <v>coding</v>
      </c>
    </row>
    <row r="28" customFormat="false" ht="26.85" hidden="false" customHeight="false" outlineLevel="0" collapsed="false">
      <c r="A28" s="3" t="n">
        <v>27</v>
      </c>
      <c r="B28" s="3" t="s">
        <v>99</v>
      </c>
      <c r="C28" s="13" t="s">
        <v>100</v>
      </c>
      <c r="D28" s="10" t="n">
        <v>7</v>
      </c>
      <c r="E28" s="10" t="n">
        <v>9</v>
      </c>
      <c r="F28" s="10" t="s">
        <v>49</v>
      </c>
      <c r="G28" s="3" t="str">
        <f aca="false">IF(D28&lt;=Settings!$B$3,"simple",IF(D28&lt;=Settings!$B$4,"coding","critical"))</f>
        <v>coding</v>
      </c>
      <c r="H28" s="3" t="str">
        <f aca="false">IF(E28&lt;=Settings!$B$3,"simple",IF(E28&lt;=Settings!$B$4,"coding","critical"))</f>
        <v>critical</v>
      </c>
    </row>
    <row r="29" customFormat="false" ht="26.85" hidden="false" customHeight="false" outlineLevel="0" collapsed="false">
      <c r="A29" s="3" t="n">
        <v>28</v>
      </c>
      <c r="B29" s="3" t="s">
        <v>101</v>
      </c>
      <c r="C29" s="13" t="s">
        <v>102</v>
      </c>
      <c r="D29" s="10" t="n">
        <v>7</v>
      </c>
      <c r="E29" s="10" t="n">
        <v>9</v>
      </c>
      <c r="F29" s="10" t="s">
        <v>53</v>
      </c>
      <c r="G29" s="3" t="str">
        <f aca="false">IF(D29&lt;=Settings!$B$3,"simple",IF(D29&lt;=Settings!$B$4,"coding","critical"))</f>
        <v>coding</v>
      </c>
      <c r="H29" s="3" t="str">
        <f aca="false">IF(E29&lt;=Settings!$B$3,"simple",IF(E29&lt;=Settings!$B$4,"coding","critical"))</f>
        <v>critical</v>
      </c>
    </row>
    <row r="30" customFormat="false" ht="26.85" hidden="false" customHeight="false" outlineLevel="0" collapsed="false">
      <c r="A30" s="3" t="n">
        <v>29</v>
      </c>
      <c r="B30" s="3" t="s">
        <v>103</v>
      </c>
      <c r="C30" s="13" t="s">
        <v>104</v>
      </c>
      <c r="D30" s="10" t="n">
        <v>8</v>
      </c>
      <c r="E30" s="10" t="n">
        <v>10</v>
      </c>
      <c r="F30" s="10" t="s">
        <v>49</v>
      </c>
      <c r="G30" s="3" t="str">
        <f aca="false">IF(D30&lt;=Settings!$B$3,"simple",IF(D30&lt;=Settings!$B$4,"coding","critical"))</f>
        <v>critical</v>
      </c>
      <c r="H30" s="3" t="str">
        <f aca="false">IF(E30&lt;=Settings!$B$3,"simple",IF(E30&lt;=Settings!$B$4,"coding","critical"))</f>
        <v>critical</v>
      </c>
    </row>
    <row r="31" customFormat="false" ht="26.85" hidden="false" customHeight="false" outlineLevel="0" collapsed="false">
      <c r="A31" s="3" t="n">
        <v>30</v>
      </c>
      <c r="B31" s="3" t="s">
        <v>105</v>
      </c>
      <c r="C31" s="13" t="s">
        <v>106</v>
      </c>
      <c r="D31" s="10" t="n">
        <v>9</v>
      </c>
      <c r="E31" s="10" t="n">
        <v>10</v>
      </c>
      <c r="F31" s="10" t="s">
        <v>49</v>
      </c>
      <c r="G31" s="3" t="str">
        <f aca="false">IF(D31&lt;=Settings!$B$3,"simple",IF(D31&lt;=Settings!$B$4,"coding","critical"))</f>
        <v>critical</v>
      </c>
      <c r="H31" s="3" t="str">
        <f aca="false">IF(E31&lt;=Settings!$B$3,"simple",IF(E31&lt;=Settings!$B$4,"coding","critical"))</f>
        <v>critical</v>
      </c>
    </row>
    <row r="32" customFormat="false" ht="26.85" hidden="false" customHeight="false" outlineLevel="0" collapsed="false">
      <c r="A32" s="3" t="n">
        <v>31</v>
      </c>
      <c r="B32" s="3" t="s">
        <v>107</v>
      </c>
      <c r="C32" s="13" t="s">
        <v>108</v>
      </c>
      <c r="D32" s="10" t="n">
        <v>9</v>
      </c>
      <c r="E32" s="10" t="n">
        <v>10</v>
      </c>
      <c r="F32" s="10" t="s">
        <v>58</v>
      </c>
      <c r="G32" s="3" t="str">
        <f aca="false">IF(D32&lt;=Settings!$B$3,"simple",IF(D32&lt;=Settings!$B$4,"coding","critical"))</f>
        <v>critical</v>
      </c>
      <c r="H32" s="3" t="str">
        <f aca="false">IF(E32&lt;=Settings!$B$3,"simple",IF(E32&lt;=Settings!$B$4,"coding","critical"))</f>
        <v>critical</v>
      </c>
    </row>
    <row r="33" customFormat="false" ht="26.85" hidden="false" customHeight="false" outlineLevel="0" collapsed="false">
      <c r="A33" s="3" t="n">
        <v>32</v>
      </c>
      <c r="B33" s="3" t="s">
        <v>109</v>
      </c>
      <c r="C33" s="13" t="s">
        <v>110</v>
      </c>
      <c r="D33" s="10" t="n">
        <v>9</v>
      </c>
      <c r="E33" s="10" t="n">
        <v>10</v>
      </c>
      <c r="F33" s="10" t="s">
        <v>49</v>
      </c>
      <c r="G33" s="3" t="str">
        <f aca="false">IF(D33&lt;=Settings!$B$3,"simple",IF(D33&lt;=Settings!$B$4,"coding","critical"))</f>
        <v>critical</v>
      </c>
      <c r="H33" s="3" t="str">
        <f aca="false">IF(E33&lt;=Settings!$B$3,"simple",IF(E33&lt;=Settings!$B$4,"coding","critical"))</f>
        <v>critical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40"/>
    <col collapsed="false" customWidth="true" hidden="false" outlineLevel="0" max="4" min="4" style="0" width="7"/>
    <col collapsed="false" customWidth="true" hidden="false" outlineLevel="0" max="6" min="5" style="0" width="10"/>
    <col collapsed="false" customWidth="true" hidden="false" outlineLevel="0" max="8" min="7" style="0" width="9"/>
    <col collapsed="false" customWidth="true" hidden="false" outlineLevel="0" max="9" min="9" style="0" width="8"/>
    <col collapsed="false" customWidth="true" hidden="false" outlineLevel="0" max="10" min="10" style="0" width="9"/>
    <col collapsed="false" customWidth="true" hidden="false" outlineLevel="0" max="11" min="11" style="0" width="8"/>
    <col collapsed="false" customWidth="true" hidden="false" outlineLevel="0" max="15" min="12" style="0" width="9"/>
    <col collapsed="false" customWidth="true" hidden="false" outlineLevel="0" max="16" min="16" style="0" width="11"/>
    <col collapsed="false" customWidth="true" hidden="false" outlineLevel="0" max="17" min="17" style="0" width="18"/>
    <col collapsed="false" customWidth="true" hidden="false" outlineLevel="0" max="18" min="18" style="0" width="30"/>
  </cols>
  <sheetData>
    <row r="1" customFormat="false" ht="39.55" hidden="false" customHeight="false" outlineLevel="0" collapsed="false">
      <c r="A1" s="2" t="s">
        <v>1</v>
      </c>
      <c r="B1" s="2" t="s">
        <v>111</v>
      </c>
      <c r="C1" s="2" t="s">
        <v>112</v>
      </c>
      <c r="D1" s="2" t="s">
        <v>113</v>
      </c>
      <c r="E1" s="2" t="s">
        <v>114</v>
      </c>
      <c r="F1" s="2" t="s">
        <v>115</v>
      </c>
      <c r="G1" s="2" t="s">
        <v>116</v>
      </c>
      <c r="H1" s="2" t="s">
        <v>117</v>
      </c>
      <c r="I1" s="2" t="s">
        <v>118</v>
      </c>
      <c r="J1" s="2" t="s">
        <v>5</v>
      </c>
      <c r="K1" s="2" t="s">
        <v>119</v>
      </c>
      <c r="L1" s="2" t="s">
        <v>120</v>
      </c>
      <c r="M1" s="2" t="s">
        <v>121</v>
      </c>
      <c r="N1" s="2" t="s">
        <v>122</v>
      </c>
      <c r="O1" s="2" t="s">
        <v>123</v>
      </c>
      <c r="P1" s="2" t="s">
        <v>124</v>
      </c>
      <c r="Q1" s="2" t="s">
        <v>125</v>
      </c>
      <c r="R1" s="2" t="s">
        <v>126</v>
      </c>
    </row>
    <row r="2" customFormat="false" ht="15" hidden="false" customHeight="false" outlineLevel="0" collapsed="false">
      <c r="A2" s="3" t="s">
        <v>12</v>
      </c>
      <c r="B2" s="3" t="n">
        <v>1</v>
      </c>
      <c r="C2" s="3" t="s">
        <v>127</v>
      </c>
      <c r="D2" s="3" t="n">
        <v>1</v>
      </c>
      <c r="E2" s="3" t="s">
        <v>69</v>
      </c>
      <c r="F2" s="3" t="str">
        <f aca="false">IF(D2="","none",IF(D2&lt;=Settings!$B$3,"simple",IF(D2&lt;=Settings!$B$4,"coding","critical")))</f>
        <v>simple</v>
      </c>
      <c r="G2" s="3" t="n">
        <f aca="false">INDEX(Prompts!$D$2:$D$200,MATCH($B2,Prompts!$A$2:$A$200,0))</f>
        <v>1</v>
      </c>
      <c r="H2" s="3" t="n">
        <f aca="false">INDEX(Prompts!$E$2:$E$200,MATCH($B2,Prompts!$A$2:$A$200,0))</f>
        <v>2</v>
      </c>
      <c r="I2" s="3" t="n">
        <f aca="false">IF(D2="",0,IF(OR(F2=IF(G2&lt;=Settings!$B$3,"simple",IF(G2&lt;=Settings!$B$4,"coding","critical")),F2=IF(H2&lt;=Settings!$B$3,"simple",IF(H2&lt;=Settings!$B$4,"coding","critical"))),1,0))</f>
        <v>1</v>
      </c>
      <c r="J2" s="3" t="n">
        <f aca="false">IF(D2="",0,IF(AND(D2&gt;=G2,D2&lt;=H2),1,0))</f>
        <v>1</v>
      </c>
      <c r="K2" s="3" t="n">
        <f aca="false">IF(E2=INDEX(Prompts!$F$2:$F$200,MATCH($B2,Prompts!$A$2:$A$200,0)),1,0)</f>
        <v>0</v>
      </c>
      <c r="L2" s="3" t="n">
        <f aca="false">IF(AND(G2&gt;Settings!$B$4,OR(D2="",D2&lt;=Settings!$B$4)),1,0)</f>
        <v>0</v>
      </c>
      <c r="M2" s="3" t="n">
        <v>20.17</v>
      </c>
      <c r="N2" s="3" t="n">
        <v>307</v>
      </c>
      <c r="O2" s="3" t="n">
        <v>1179</v>
      </c>
      <c r="P2" s="14" t="n">
        <v>0.006202</v>
      </c>
      <c r="Q2" s="3" t="s">
        <v>12</v>
      </c>
      <c r="R2" s="3"/>
    </row>
    <row r="3" customFormat="false" ht="15" hidden="false" customHeight="false" outlineLevel="0" collapsed="false">
      <c r="A3" s="3" t="s">
        <v>12</v>
      </c>
      <c r="B3" s="3" t="n">
        <v>2</v>
      </c>
      <c r="C3" s="3" t="s">
        <v>128</v>
      </c>
      <c r="D3" s="3" t="n">
        <v>1</v>
      </c>
      <c r="E3" s="3" t="s">
        <v>56</v>
      </c>
      <c r="F3" s="3" t="str">
        <f aca="false">IF(D3="","none",IF(D3&lt;=Settings!$B$3,"simple",IF(D3&lt;=Settings!$B$4,"coding","critical")))</f>
        <v>simple</v>
      </c>
      <c r="G3" s="3" t="n">
        <f aca="false">INDEX(Prompts!$D$2:$D$200,MATCH($B3,Prompts!$A$2:$A$200,0))</f>
        <v>1</v>
      </c>
      <c r="H3" s="3" t="n">
        <f aca="false">INDEX(Prompts!$E$2:$E$200,MATCH($B3,Prompts!$A$2:$A$200,0))</f>
        <v>2</v>
      </c>
      <c r="I3" s="3" t="n">
        <f aca="false">IF(D3="",0,IF(OR(F3=IF(G3&lt;=Settings!$B$3,"simple",IF(G3&lt;=Settings!$B$4,"coding","critical")),F3=IF(H3&lt;=Settings!$B$3,"simple",IF(H3&lt;=Settings!$B$4,"coding","critical"))),1,0))</f>
        <v>1</v>
      </c>
      <c r="J3" s="3" t="n">
        <f aca="false">IF(D3="",0,IF(AND(D3&gt;=G3,D3&lt;=H3),1,0))</f>
        <v>1</v>
      </c>
      <c r="K3" s="3" t="n">
        <f aca="false">IF(E3=INDEX(Prompts!$F$2:$F$200,MATCH($B3,Prompts!$A$2:$A$200,0)),1,0)</f>
        <v>0</v>
      </c>
      <c r="L3" s="3" t="n">
        <f aca="false">IF(AND(G3&gt;Settings!$B$4,OR(D3="",D3&lt;=Settings!$B$4)),1,0)</f>
        <v>0</v>
      </c>
      <c r="M3" s="3" t="n">
        <v>13.11</v>
      </c>
      <c r="N3" s="3" t="n">
        <v>312</v>
      </c>
      <c r="O3" s="3" t="n">
        <v>451</v>
      </c>
      <c r="P3" s="14" t="n">
        <v>0.002567</v>
      </c>
      <c r="Q3" s="3" t="s">
        <v>12</v>
      </c>
      <c r="R3" s="3"/>
    </row>
    <row r="4" customFormat="false" ht="15" hidden="false" customHeight="false" outlineLevel="0" collapsed="false">
      <c r="A4" s="3" t="s">
        <v>12</v>
      </c>
      <c r="B4" s="3" t="n">
        <v>3</v>
      </c>
      <c r="C4" s="3" t="s">
        <v>129</v>
      </c>
      <c r="D4" s="3" t="n">
        <v>1</v>
      </c>
      <c r="E4" s="3" t="s">
        <v>53</v>
      </c>
      <c r="F4" s="3" t="str">
        <f aca="false">IF(D4="","none",IF(D4&lt;=Settings!$B$3,"simple",IF(D4&lt;=Settings!$B$4,"coding","critical")))</f>
        <v>simple</v>
      </c>
      <c r="G4" s="3" t="n">
        <f aca="false">INDEX(Prompts!$D$2:$D$200,MATCH($B4,Prompts!$A$2:$A$200,0))</f>
        <v>1</v>
      </c>
      <c r="H4" s="3" t="n">
        <f aca="false">INDEX(Prompts!$E$2:$E$200,MATCH($B4,Prompts!$A$2:$A$200,0))</f>
        <v>2</v>
      </c>
      <c r="I4" s="3" t="n">
        <f aca="false">IF(D4="",0,IF(OR(F4=IF(G4&lt;=Settings!$B$3,"simple",IF(G4&lt;=Settings!$B$4,"coding","critical")),F4=IF(H4&lt;=Settings!$B$3,"simple",IF(H4&lt;=Settings!$B$4,"coding","critical"))),1,0))</f>
        <v>1</v>
      </c>
      <c r="J4" s="3" t="n">
        <f aca="false">IF(D4="",0,IF(AND(D4&gt;=G4,D4&lt;=H4),1,0))</f>
        <v>1</v>
      </c>
      <c r="K4" s="3" t="n">
        <f aca="false">IF(E4=INDEX(Prompts!$F$2:$F$200,MATCH($B4,Prompts!$A$2:$A$200,0)),1,0)</f>
        <v>1</v>
      </c>
      <c r="L4" s="3" t="n">
        <f aca="false">IF(AND(G4&gt;Settings!$B$4,OR(D4="",D4&lt;=Settings!$B$4)),1,0)</f>
        <v>0</v>
      </c>
      <c r="M4" s="3" t="n">
        <v>11.73</v>
      </c>
      <c r="N4" s="3" t="n">
        <v>310</v>
      </c>
      <c r="O4" s="3" t="n">
        <v>335</v>
      </c>
      <c r="P4" s="14" t="n">
        <v>0.001985</v>
      </c>
      <c r="Q4" s="3" t="s">
        <v>12</v>
      </c>
      <c r="R4" s="3"/>
    </row>
    <row r="5" customFormat="false" ht="15" hidden="false" customHeight="false" outlineLevel="0" collapsed="false">
      <c r="A5" s="3" t="s">
        <v>12</v>
      </c>
      <c r="B5" s="3" t="n">
        <v>4</v>
      </c>
      <c r="C5" s="3" t="s">
        <v>128</v>
      </c>
      <c r="D5" s="3" t="n">
        <v>1</v>
      </c>
      <c r="E5" s="3" t="s">
        <v>56</v>
      </c>
      <c r="F5" s="3" t="str">
        <f aca="false">IF(D5="","none",IF(D5&lt;=Settings!$B$3,"simple",IF(D5&lt;=Settings!$B$4,"coding","critical")))</f>
        <v>simple</v>
      </c>
      <c r="G5" s="3" t="n">
        <f aca="false">INDEX(Prompts!$D$2:$D$200,MATCH($B5,Prompts!$A$2:$A$200,0))</f>
        <v>1</v>
      </c>
      <c r="H5" s="3" t="n">
        <f aca="false">INDEX(Prompts!$E$2:$E$200,MATCH($B5,Prompts!$A$2:$A$200,0))</f>
        <v>2</v>
      </c>
      <c r="I5" s="3" t="n">
        <f aca="false">IF(D5="",0,IF(OR(F5=IF(G5&lt;=Settings!$B$3,"simple",IF(G5&lt;=Settings!$B$4,"coding","critical")),F5=IF(H5&lt;=Settings!$B$3,"simple",IF(H5&lt;=Settings!$B$4,"coding","critical"))),1,0))</f>
        <v>1</v>
      </c>
      <c r="J5" s="3" t="n">
        <f aca="false">IF(D5="",0,IF(AND(D5&gt;=G5,D5&lt;=H5),1,0))</f>
        <v>1</v>
      </c>
      <c r="K5" s="3" t="n">
        <f aca="false">IF(E5=INDEX(Prompts!$F$2:$F$200,MATCH($B5,Prompts!$A$2:$A$200,0)),1,0)</f>
        <v>1</v>
      </c>
      <c r="L5" s="3" t="n">
        <f aca="false">IF(AND(G5&gt;Settings!$B$4,OR(D5="",D5&lt;=Settings!$B$4)),1,0)</f>
        <v>0</v>
      </c>
      <c r="M5" s="3" t="n">
        <v>15.29</v>
      </c>
      <c r="N5" s="3" t="n">
        <v>302</v>
      </c>
      <c r="O5" s="3" t="n">
        <v>420</v>
      </c>
      <c r="P5" s="14" t="n">
        <v>0.002402</v>
      </c>
      <c r="Q5" s="3" t="s">
        <v>12</v>
      </c>
      <c r="R5" s="3"/>
    </row>
    <row r="6" customFormat="false" ht="15" hidden="false" customHeight="false" outlineLevel="0" collapsed="false">
      <c r="A6" s="3" t="s">
        <v>12</v>
      </c>
      <c r="B6" s="3" t="n">
        <v>5</v>
      </c>
      <c r="C6" s="3" t="s">
        <v>128</v>
      </c>
      <c r="D6" s="3" t="n">
        <v>1</v>
      </c>
      <c r="E6" s="3" t="s">
        <v>56</v>
      </c>
      <c r="F6" s="3" t="str">
        <f aca="false">IF(D6="","none",IF(D6&lt;=Settings!$B$3,"simple",IF(D6&lt;=Settings!$B$4,"coding","critical")))</f>
        <v>simple</v>
      </c>
      <c r="G6" s="3" t="n">
        <f aca="false">INDEX(Prompts!$D$2:$D$200,MATCH($B6,Prompts!$A$2:$A$200,0))</f>
        <v>1</v>
      </c>
      <c r="H6" s="3" t="n">
        <f aca="false">INDEX(Prompts!$E$2:$E$200,MATCH($B6,Prompts!$A$2:$A$200,0))</f>
        <v>2</v>
      </c>
      <c r="I6" s="3" t="n">
        <f aca="false">IF(D6="",0,IF(OR(F6=IF(G6&lt;=Settings!$B$3,"simple",IF(G6&lt;=Settings!$B$4,"coding","critical")),F6=IF(H6&lt;=Settings!$B$3,"simple",IF(H6&lt;=Settings!$B$4,"coding","critical"))),1,0))</f>
        <v>1</v>
      </c>
      <c r="J6" s="3" t="n">
        <f aca="false">IF(D6="",0,IF(AND(D6&gt;=G6,D6&lt;=H6),1,0))</f>
        <v>1</v>
      </c>
      <c r="K6" s="3" t="n">
        <f aca="false">IF(E6=INDEX(Prompts!$F$2:$F$200,MATCH($B6,Prompts!$A$2:$A$200,0)),1,0)</f>
        <v>0</v>
      </c>
      <c r="L6" s="3" t="n">
        <f aca="false">IF(AND(G6&gt;Settings!$B$4,OR(D6="",D6&lt;=Settings!$B$4)),1,0)</f>
        <v>0</v>
      </c>
      <c r="M6" s="3" t="n">
        <v>24.69</v>
      </c>
      <c r="N6" s="3" t="n">
        <v>305</v>
      </c>
      <c r="O6" s="3" t="n">
        <v>1630</v>
      </c>
      <c r="P6" s="14" t="n">
        <v>0.008455</v>
      </c>
      <c r="Q6" s="3" t="s">
        <v>12</v>
      </c>
      <c r="R6" s="3"/>
    </row>
    <row r="7" customFormat="false" ht="15" hidden="false" customHeight="false" outlineLevel="0" collapsed="false">
      <c r="A7" s="3" t="s">
        <v>12</v>
      </c>
      <c r="B7" s="3" t="n">
        <v>6</v>
      </c>
      <c r="C7" s="3" t="s">
        <v>130</v>
      </c>
      <c r="D7" s="3" t="n">
        <v>2</v>
      </c>
      <c r="E7" s="3" t="s">
        <v>53</v>
      </c>
      <c r="F7" s="3" t="str">
        <f aca="false">IF(D7="","none",IF(D7&lt;=Settings!$B$3,"simple",IF(D7&lt;=Settings!$B$4,"coding","critical")))</f>
        <v>simple</v>
      </c>
      <c r="G7" s="3" t="n">
        <f aca="false">INDEX(Prompts!$D$2:$D$200,MATCH($B7,Prompts!$A$2:$A$200,0))</f>
        <v>1</v>
      </c>
      <c r="H7" s="3" t="n">
        <f aca="false">INDEX(Prompts!$E$2:$E$200,MATCH($B7,Prompts!$A$2:$A$200,0))</f>
        <v>2</v>
      </c>
      <c r="I7" s="3" t="n">
        <f aca="false">IF(D7="",0,IF(OR(F7=IF(G7&lt;=Settings!$B$3,"simple",IF(G7&lt;=Settings!$B$4,"coding","critical")),F7=IF(H7&lt;=Settings!$B$3,"simple",IF(H7&lt;=Settings!$B$4,"coding","critical"))),1,0))</f>
        <v>1</v>
      </c>
      <c r="J7" s="3" t="n">
        <f aca="false">IF(D7="",0,IF(AND(D7&gt;=G7,D7&lt;=H7),1,0))</f>
        <v>1</v>
      </c>
      <c r="K7" s="3" t="n">
        <f aca="false">IF(E7=INDEX(Prompts!$F$2:$F$200,MATCH($B7,Prompts!$A$2:$A$200,0)),1,0)</f>
        <v>0</v>
      </c>
      <c r="L7" s="3" t="n">
        <f aca="false">IF(AND(G7&gt;Settings!$B$4,OR(D7="",D7&lt;=Settings!$B$4)),1,0)</f>
        <v>0</v>
      </c>
      <c r="M7" s="3" t="n">
        <v>23.02</v>
      </c>
      <c r="N7" s="3" t="n">
        <v>304</v>
      </c>
      <c r="O7" s="3" t="n">
        <v>1423</v>
      </c>
      <c r="P7" s="14" t="n">
        <v>0.007419</v>
      </c>
      <c r="Q7" s="3" t="s">
        <v>12</v>
      </c>
      <c r="R7" s="3"/>
    </row>
    <row r="8" customFormat="false" ht="15" hidden="false" customHeight="false" outlineLevel="0" collapsed="false">
      <c r="A8" s="3" t="s">
        <v>12</v>
      </c>
      <c r="B8" s="3" t="n">
        <v>7</v>
      </c>
      <c r="C8" s="3" t="s">
        <v>131</v>
      </c>
      <c r="D8" s="3" t="n">
        <v>1</v>
      </c>
      <c r="E8" s="3" t="s">
        <v>49</v>
      </c>
      <c r="F8" s="3" t="str">
        <f aca="false">IF(D8="","none",IF(D8&lt;=Settings!$B$3,"simple",IF(D8&lt;=Settings!$B$4,"coding","critical")))</f>
        <v>simple</v>
      </c>
      <c r="G8" s="3" t="n">
        <f aca="false">INDEX(Prompts!$D$2:$D$200,MATCH($B8,Prompts!$A$2:$A$200,0))</f>
        <v>1</v>
      </c>
      <c r="H8" s="3" t="n">
        <f aca="false">INDEX(Prompts!$E$2:$E$200,MATCH($B8,Prompts!$A$2:$A$200,0))</f>
        <v>3</v>
      </c>
      <c r="I8" s="3" t="n">
        <f aca="false">IF(D8="",0,IF(OR(F8=IF(G8&lt;=Settings!$B$3,"simple",IF(G8&lt;=Settings!$B$4,"coding","critical")),F8=IF(H8&lt;=Settings!$B$3,"simple",IF(H8&lt;=Settings!$B$4,"coding","critical"))),1,0))</f>
        <v>1</v>
      </c>
      <c r="J8" s="3" t="n">
        <f aca="false">IF(D8="",0,IF(AND(D8&gt;=G8,D8&lt;=H8),1,0))</f>
        <v>1</v>
      </c>
      <c r="K8" s="3" t="n">
        <f aca="false">IF(E8=INDEX(Prompts!$F$2:$F$200,MATCH($B8,Prompts!$A$2:$A$200,0)),1,0)</f>
        <v>1</v>
      </c>
      <c r="L8" s="3" t="n">
        <f aca="false">IF(AND(G8&gt;Settings!$B$4,OR(D8="",D8&lt;=Settings!$B$4)),1,0)</f>
        <v>0</v>
      </c>
      <c r="M8" s="3" t="n">
        <v>13.16</v>
      </c>
      <c r="N8" s="3" t="n">
        <v>306</v>
      </c>
      <c r="O8" s="3" t="n">
        <v>420</v>
      </c>
      <c r="P8" s="14" t="n">
        <v>0.002406</v>
      </c>
      <c r="Q8" s="3" t="s">
        <v>12</v>
      </c>
      <c r="R8" s="3"/>
    </row>
    <row r="9" customFormat="false" ht="15" hidden="false" customHeight="false" outlineLevel="0" collapsed="false">
      <c r="A9" s="3" t="s">
        <v>12</v>
      </c>
      <c r="B9" s="3" t="n">
        <v>8</v>
      </c>
      <c r="C9" s="3" t="s">
        <v>132</v>
      </c>
      <c r="D9" s="3" t="n">
        <v>3</v>
      </c>
      <c r="E9" s="3" t="s">
        <v>49</v>
      </c>
      <c r="F9" s="3" t="str">
        <f aca="false">IF(D9="","none",IF(D9&lt;=Settings!$B$3,"simple",IF(D9&lt;=Settings!$B$4,"coding","critical")))</f>
        <v>simple</v>
      </c>
      <c r="G9" s="3" t="n">
        <f aca="false">INDEX(Prompts!$D$2:$D$200,MATCH($B9,Prompts!$A$2:$A$200,0))</f>
        <v>2</v>
      </c>
      <c r="H9" s="3" t="n">
        <f aca="false">INDEX(Prompts!$E$2:$E$200,MATCH($B9,Prompts!$A$2:$A$200,0))</f>
        <v>3</v>
      </c>
      <c r="I9" s="3" t="n">
        <f aca="false">IF(D9="",0,IF(OR(F9=IF(G9&lt;=Settings!$B$3,"simple",IF(G9&lt;=Settings!$B$4,"coding","critical")),F9=IF(H9&lt;=Settings!$B$3,"simple",IF(H9&lt;=Settings!$B$4,"coding","critical"))),1,0))</f>
        <v>1</v>
      </c>
      <c r="J9" s="3" t="n">
        <f aca="false">IF(D9="",0,IF(AND(D9&gt;=G9,D9&lt;=H9),1,0))</f>
        <v>1</v>
      </c>
      <c r="K9" s="3" t="n">
        <f aca="false">IF(E9=INDEX(Prompts!$F$2:$F$200,MATCH($B9,Prompts!$A$2:$A$200,0)),1,0)</f>
        <v>1</v>
      </c>
      <c r="L9" s="3" t="n">
        <f aca="false">IF(AND(G9&gt;Settings!$B$4,OR(D9="",D9&lt;=Settings!$B$4)),1,0)</f>
        <v>0</v>
      </c>
      <c r="M9" s="3" t="n">
        <v>12.52</v>
      </c>
      <c r="N9" s="3" t="n">
        <v>309</v>
      </c>
      <c r="O9" s="3" t="n">
        <v>330</v>
      </c>
      <c r="P9" s="14" t="n">
        <v>0.001959</v>
      </c>
      <c r="Q9" s="3" t="s">
        <v>12</v>
      </c>
      <c r="R9" s="3"/>
    </row>
    <row r="10" customFormat="false" ht="15" hidden="false" customHeight="false" outlineLevel="0" collapsed="false">
      <c r="A10" s="3" t="s">
        <v>12</v>
      </c>
      <c r="B10" s="3" t="n">
        <v>9</v>
      </c>
      <c r="C10" s="3" t="s">
        <v>132</v>
      </c>
      <c r="D10" s="3" t="n">
        <v>3</v>
      </c>
      <c r="E10" s="3" t="s">
        <v>49</v>
      </c>
      <c r="F10" s="3" t="str">
        <f aca="false">IF(D10="","none",IF(D10&lt;=Settings!$B$3,"simple",IF(D10&lt;=Settings!$B$4,"coding","critical")))</f>
        <v>simple</v>
      </c>
      <c r="G10" s="3" t="n">
        <f aca="false">INDEX(Prompts!$D$2:$D$200,MATCH($B10,Prompts!$A$2:$A$200,0))</f>
        <v>2</v>
      </c>
      <c r="H10" s="3" t="n">
        <f aca="false">INDEX(Prompts!$E$2:$E$200,MATCH($B10,Prompts!$A$2:$A$200,0))</f>
        <v>3</v>
      </c>
      <c r="I10" s="3" t="n">
        <f aca="false">IF(D10="",0,IF(OR(F10=IF(G10&lt;=Settings!$B$3,"simple",IF(G10&lt;=Settings!$B$4,"coding","critical")),F10=IF(H10&lt;=Settings!$B$3,"simple",IF(H10&lt;=Settings!$B$4,"coding","critical"))),1,0))</f>
        <v>1</v>
      </c>
      <c r="J10" s="3" t="n">
        <f aca="false">IF(D10="",0,IF(AND(D10&gt;=G10,D10&lt;=H10),1,0))</f>
        <v>1</v>
      </c>
      <c r="K10" s="3" t="n">
        <f aca="false">IF(E10=INDEX(Prompts!$F$2:$F$200,MATCH($B10,Prompts!$A$2:$A$200,0)),1,0)</f>
        <v>1</v>
      </c>
      <c r="L10" s="3" t="n">
        <f aca="false">IF(AND(G10&gt;Settings!$B$4,OR(D10="",D10&lt;=Settings!$B$4)),1,0)</f>
        <v>0</v>
      </c>
      <c r="M10" s="3" t="n">
        <v>12.93</v>
      </c>
      <c r="N10" s="3" t="n">
        <v>305</v>
      </c>
      <c r="O10" s="3" t="n">
        <v>514</v>
      </c>
      <c r="P10" s="14" t="n">
        <v>0.002875</v>
      </c>
      <c r="Q10" s="3" t="s">
        <v>12</v>
      </c>
      <c r="R10" s="3"/>
    </row>
    <row r="11" customFormat="false" ht="15" hidden="false" customHeight="false" outlineLevel="0" collapsed="false">
      <c r="A11" s="3" t="s">
        <v>12</v>
      </c>
      <c r="B11" s="3" t="n">
        <v>10</v>
      </c>
      <c r="C11" s="3" t="s">
        <v>132</v>
      </c>
      <c r="D11" s="3" t="n">
        <v>3</v>
      </c>
      <c r="E11" s="3" t="s">
        <v>49</v>
      </c>
      <c r="F11" s="3" t="str">
        <f aca="false">IF(D11="","none",IF(D11&lt;=Settings!$B$3,"simple",IF(D11&lt;=Settings!$B$4,"coding","critical")))</f>
        <v>simple</v>
      </c>
      <c r="G11" s="3" t="n">
        <f aca="false">INDEX(Prompts!$D$2:$D$200,MATCH($B11,Prompts!$A$2:$A$200,0))</f>
        <v>2</v>
      </c>
      <c r="H11" s="3" t="n">
        <f aca="false">INDEX(Prompts!$E$2:$E$200,MATCH($B11,Prompts!$A$2:$A$200,0))</f>
        <v>3</v>
      </c>
      <c r="I11" s="3" t="n">
        <f aca="false">IF(D11="",0,IF(OR(F11=IF(G11&lt;=Settings!$B$3,"simple",IF(G11&lt;=Settings!$B$4,"coding","critical")),F11=IF(H11&lt;=Settings!$B$3,"simple",IF(H11&lt;=Settings!$B$4,"coding","critical"))),1,0))</f>
        <v>1</v>
      </c>
      <c r="J11" s="3" t="n">
        <f aca="false">IF(D11="",0,IF(AND(D11&gt;=G11,D11&lt;=H11),1,0))</f>
        <v>1</v>
      </c>
      <c r="K11" s="3" t="n">
        <f aca="false">IF(E11=INDEX(Prompts!$F$2:$F$200,MATCH($B11,Prompts!$A$2:$A$200,0)),1,0)</f>
        <v>1</v>
      </c>
      <c r="L11" s="3" t="n">
        <f aca="false">IF(AND(G11&gt;Settings!$B$4,OR(D11="",D11&lt;=Settings!$B$4)),1,0)</f>
        <v>0</v>
      </c>
      <c r="M11" s="3" t="n">
        <v>14.01</v>
      </c>
      <c r="N11" s="3" t="n">
        <v>302</v>
      </c>
      <c r="O11" s="3" t="n">
        <v>396</v>
      </c>
      <c r="P11" s="14" t="n">
        <v>0.002282</v>
      </c>
      <c r="Q11" s="3" t="s">
        <v>12</v>
      </c>
      <c r="R11" s="3"/>
    </row>
    <row r="12" customFormat="false" ht="15" hidden="false" customHeight="false" outlineLevel="0" collapsed="false">
      <c r="A12" s="3" t="s">
        <v>12</v>
      </c>
      <c r="B12" s="3" t="n">
        <v>11</v>
      </c>
      <c r="C12" s="3" t="s">
        <v>133</v>
      </c>
      <c r="D12" s="3" t="n">
        <v>2</v>
      </c>
      <c r="E12" s="3" t="s">
        <v>69</v>
      </c>
      <c r="F12" s="3" t="str">
        <f aca="false">IF(D12="","none",IF(D12&lt;=Settings!$B$3,"simple",IF(D12&lt;=Settings!$B$4,"coding","critical")))</f>
        <v>simple</v>
      </c>
      <c r="G12" s="3" t="n">
        <f aca="false">INDEX(Prompts!$D$2:$D$200,MATCH($B12,Prompts!$A$2:$A$200,0))</f>
        <v>1</v>
      </c>
      <c r="H12" s="3" t="n">
        <f aca="false">INDEX(Prompts!$E$2:$E$200,MATCH($B12,Prompts!$A$2:$A$200,0))</f>
        <v>3</v>
      </c>
      <c r="I12" s="3" t="n">
        <f aca="false">IF(D12="",0,IF(OR(F12=IF(G12&lt;=Settings!$B$3,"simple",IF(G12&lt;=Settings!$B$4,"coding","critical")),F12=IF(H12&lt;=Settings!$B$3,"simple",IF(H12&lt;=Settings!$B$4,"coding","critical"))),1,0))</f>
        <v>1</v>
      </c>
      <c r="J12" s="3" t="n">
        <f aca="false">IF(D12="",0,IF(AND(D12&gt;=G12,D12&lt;=H12),1,0))</f>
        <v>1</v>
      </c>
      <c r="K12" s="3" t="n">
        <f aca="false">IF(E12=INDEX(Prompts!$F$2:$F$200,MATCH($B12,Prompts!$A$2:$A$200,0)),1,0)</f>
        <v>1</v>
      </c>
      <c r="L12" s="3" t="n">
        <f aca="false">IF(AND(G12&gt;Settings!$B$4,OR(D12="",D12&lt;=Settings!$B$4)),1,0)</f>
        <v>0</v>
      </c>
      <c r="M12" s="3" t="n">
        <v>14.28</v>
      </c>
      <c r="N12" s="3" t="n">
        <v>305</v>
      </c>
      <c r="O12" s="3" t="n">
        <v>448</v>
      </c>
      <c r="P12" s="14" t="n">
        <v>0.002545</v>
      </c>
      <c r="Q12" s="3" t="s">
        <v>12</v>
      </c>
      <c r="R12" s="3"/>
    </row>
    <row r="13" customFormat="false" ht="15" hidden="false" customHeight="false" outlineLevel="0" collapsed="false">
      <c r="A13" s="3" t="s">
        <v>12</v>
      </c>
      <c r="B13" s="3" t="n">
        <v>12</v>
      </c>
      <c r="C13" s="3" t="s">
        <v>134</v>
      </c>
      <c r="D13" s="3" t="n">
        <v>3</v>
      </c>
      <c r="E13" s="3" t="s">
        <v>69</v>
      </c>
      <c r="F13" s="3" t="str">
        <f aca="false">IF(D13="","none",IF(D13&lt;=Settings!$B$3,"simple",IF(D13&lt;=Settings!$B$4,"coding","critical")))</f>
        <v>simple</v>
      </c>
      <c r="G13" s="3" t="n">
        <f aca="false">INDEX(Prompts!$D$2:$D$200,MATCH($B13,Prompts!$A$2:$A$200,0))</f>
        <v>2</v>
      </c>
      <c r="H13" s="3" t="n">
        <f aca="false">INDEX(Prompts!$E$2:$E$200,MATCH($B13,Prompts!$A$2:$A$200,0))</f>
        <v>4</v>
      </c>
      <c r="I13" s="3" t="n">
        <f aca="false">IF(D13="",0,IF(OR(F13=IF(G13&lt;=Settings!$B$3,"simple",IF(G13&lt;=Settings!$B$4,"coding","critical")),F13=IF(H13&lt;=Settings!$B$3,"simple",IF(H13&lt;=Settings!$B$4,"coding","critical"))),1,0))</f>
        <v>1</v>
      </c>
      <c r="J13" s="3" t="n">
        <f aca="false">IF(D13="",0,IF(AND(D13&gt;=G13,D13&lt;=H13),1,0))</f>
        <v>1</v>
      </c>
      <c r="K13" s="3" t="n">
        <f aca="false">IF(E13=INDEX(Prompts!$F$2:$F$200,MATCH($B13,Prompts!$A$2:$A$200,0)),1,0)</f>
        <v>1</v>
      </c>
      <c r="L13" s="3" t="n">
        <f aca="false">IF(AND(G13&gt;Settings!$B$4,OR(D13="",D13&lt;=Settings!$B$4)),1,0)</f>
        <v>0</v>
      </c>
      <c r="M13" s="3" t="n">
        <v>16.04</v>
      </c>
      <c r="N13" s="3" t="n">
        <v>308</v>
      </c>
      <c r="O13" s="3" t="n">
        <v>559</v>
      </c>
      <c r="P13" s="14" t="n">
        <v>0.003103</v>
      </c>
      <c r="Q13" s="3" t="s">
        <v>12</v>
      </c>
      <c r="R13" s="3"/>
    </row>
    <row r="14" customFormat="false" ht="15" hidden="false" customHeight="false" outlineLevel="0" collapsed="false">
      <c r="A14" s="3" t="s">
        <v>12</v>
      </c>
      <c r="B14" s="3" t="n">
        <v>13</v>
      </c>
      <c r="C14" s="3" t="s">
        <v>132</v>
      </c>
      <c r="D14" s="3" t="n">
        <v>3</v>
      </c>
      <c r="E14" s="3" t="s">
        <v>49</v>
      </c>
      <c r="F14" s="3" t="str">
        <f aca="false">IF(D14="","none",IF(D14&lt;=Settings!$B$3,"simple",IF(D14&lt;=Settings!$B$4,"coding","critical")))</f>
        <v>simple</v>
      </c>
      <c r="G14" s="3" t="n">
        <f aca="false">INDEX(Prompts!$D$2:$D$200,MATCH($B14,Prompts!$A$2:$A$200,0))</f>
        <v>3</v>
      </c>
      <c r="H14" s="3" t="n">
        <f aca="false">INDEX(Prompts!$E$2:$E$200,MATCH($B14,Prompts!$A$2:$A$200,0))</f>
        <v>4</v>
      </c>
      <c r="I14" s="3" t="n">
        <f aca="false">IF(D14="",0,IF(OR(F14=IF(G14&lt;=Settings!$B$3,"simple",IF(G14&lt;=Settings!$B$4,"coding","critical")),F14=IF(H14&lt;=Settings!$B$3,"simple",IF(H14&lt;=Settings!$B$4,"coding","critical"))),1,0))</f>
        <v>1</v>
      </c>
      <c r="J14" s="3" t="n">
        <f aca="false">IF(D14="",0,IF(AND(D14&gt;=G14,D14&lt;=H14),1,0))</f>
        <v>1</v>
      </c>
      <c r="K14" s="3" t="n">
        <f aca="false">IF(E14=INDEX(Prompts!$F$2:$F$200,MATCH($B14,Prompts!$A$2:$A$200,0)),1,0)</f>
        <v>1</v>
      </c>
      <c r="L14" s="3" t="n">
        <f aca="false">IF(AND(G14&gt;Settings!$B$4,OR(D14="",D14&lt;=Settings!$B$4)),1,0)</f>
        <v>0</v>
      </c>
      <c r="M14" s="3" t="n">
        <v>23.06</v>
      </c>
      <c r="N14" s="3" t="n">
        <v>308</v>
      </c>
      <c r="O14" s="3" t="n">
        <v>400</v>
      </c>
      <c r="P14" s="14" t="n">
        <v>0.002308</v>
      </c>
      <c r="Q14" s="3" t="s">
        <v>12</v>
      </c>
      <c r="R14" s="3"/>
    </row>
    <row r="15" customFormat="false" ht="15" hidden="false" customHeight="false" outlineLevel="0" collapsed="false">
      <c r="A15" s="3" t="s">
        <v>12</v>
      </c>
      <c r="B15" s="3" t="n">
        <v>14</v>
      </c>
      <c r="C15" s="3" t="s">
        <v>135</v>
      </c>
      <c r="D15" s="3" t="n">
        <v>2</v>
      </c>
      <c r="E15" s="3" t="s">
        <v>49</v>
      </c>
      <c r="F15" s="3" t="str">
        <f aca="false">IF(D15="","none",IF(D15&lt;=Settings!$B$3,"simple",IF(D15&lt;=Settings!$B$4,"coding","critical")))</f>
        <v>simple</v>
      </c>
      <c r="G15" s="3" t="n">
        <f aca="false">INDEX(Prompts!$D$2:$D$200,MATCH($B15,Prompts!$A$2:$A$200,0))</f>
        <v>2</v>
      </c>
      <c r="H15" s="3" t="n">
        <f aca="false">INDEX(Prompts!$E$2:$E$200,MATCH($B15,Prompts!$A$2:$A$200,0))</f>
        <v>4</v>
      </c>
      <c r="I15" s="3" t="n">
        <f aca="false">IF(D15="",0,IF(OR(F15=IF(G15&lt;=Settings!$B$3,"simple",IF(G15&lt;=Settings!$B$4,"coding","critical")),F15=IF(H15&lt;=Settings!$B$3,"simple",IF(H15&lt;=Settings!$B$4,"coding","critical"))),1,0))</f>
        <v>1</v>
      </c>
      <c r="J15" s="3" t="n">
        <f aca="false">IF(D15="",0,IF(AND(D15&gt;=G15,D15&lt;=H15),1,0))</f>
        <v>1</v>
      </c>
      <c r="K15" s="3" t="n">
        <f aca="false">IF(E15=INDEX(Prompts!$F$2:$F$200,MATCH($B15,Prompts!$A$2:$A$200,0)),1,0)</f>
        <v>0</v>
      </c>
      <c r="L15" s="3" t="n">
        <f aca="false">IF(AND(G15&gt;Settings!$B$4,OR(D15="",D15&lt;=Settings!$B$4)),1,0)</f>
        <v>0</v>
      </c>
      <c r="M15" s="3" t="n">
        <v>13.51</v>
      </c>
      <c r="N15" s="3" t="n">
        <v>310</v>
      </c>
      <c r="O15" s="3" t="n">
        <v>548</v>
      </c>
      <c r="P15" s="14" t="n">
        <v>0.00305</v>
      </c>
      <c r="Q15" s="3" t="s">
        <v>12</v>
      </c>
      <c r="R15" s="3"/>
    </row>
    <row r="16" customFormat="false" ht="15" hidden="false" customHeight="false" outlineLevel="0" collapsed="false">
      <c r="A16" s="3" t="s">
        <v>12</v>
      </c>
      <c r="B16" s="3" t="n">
        <v>15</v>
      </c>
      <c r="C16" s="3" t="s">
        <v>132</v>
      </c>
      <c r="D16" s="3" t="n">
        <v>3</v>
      </c>
      <c r="E16" s="3" t="s">
        <v>49</v>
      </c>
      <c r="F16" s="3" t="str">
        <f aca="false">IF(D16="","none",IF(D16&lt;=Settings!$B$3,"simple",IF(D16&lt;=Settings!$B$4,"coding","critical")))</f>
        <v>simple</v>
      </c>
      <c r="G16" s="3" t="n">
        <f aca="false">INDEX(Prompts!$D$2:$D$200,MATCH($B16,Prompts!$A$2:$A$200,0))</f>
        <v>3</v>
      </c>
      <c r="H16" s="3" t="n">
        <f aca="false">INDEX(Prompts!$E$2:$E$200,MATCH($B16,Prompts!$A$2:$A$200,0))</f>
        <v>5</v>
      </c>
      <c r="I16" s="3" t="n">
        <f aca="false">IF(D16="",0,IF(OR(F16=IF(G16&lt;=Settings!$B$3,"simple",IF(G16&lt;=Settings!$B$4,"coding","critical")),F16=IF(H16&lt;=Settings!$B$3,"simple",IF(H16&lt;=Settings!$B$4,"coding","critical"))),1,0))</f>
        <v>1</v>
      </c>
      <c r="J16" s="3" t="n">
        <f aca="false">IF(D16="",0,IF(AND(D16&gt;=G16,D16&lt;=H16),1,0))</f>
        <v>1</v>
      </c>
      <c r="K16" s="3" t="n">
        <f aca="false">IF(E16=INDEX(Prompts!$F$2:$F$200,MATCH($B16,Prompts!$A$2:$A$200,0)),1,0)</f>
        <v>1</v>
      </c>
      <c r="L16" s="3" t="n">
        <f aca="false">IF(AND(G16&gt;Settings!$B$4,OR(D16="",D16&lt;=Settings!$B$4)),1,0)</f>
        <v>0</v>
      </c>
      <c r="M16" s="3" t="n">
        <v>20.63</v>
      </c>
      <c r="N16" s="3" t="n">
        <v>316</v>
      </c>
      <c r="O16" s="3" t="n">
        <v>411</v>
      </c>
      <c r="P16" s="14" t="n">
        <v>0.002371</v>
      </c>
      <c r="Q16" s="3" t="s">
        <v>12</v>
      </c>
      <c r="R16" s="3"/>
    </row>
    <row r="17" customFormat="false" ht="15" hidden="false" customHeight="false" outlineLevel="0" collapsed="false">
      <c r="A17" s="3" t="s">
        <v>12</v>
      </c>
      <c r="B17" s="3" t="n">
        <v>16</v>
      </c>
      <c r="C17" s="3" t="s">
        <v>136</v>
      </c>
      <c r="D17" s="3" t="n">
        <v>4</v>
      </c>
      <c r="E17" s="3" t="s">
        <v>49</v>
      </c>
      <c r="F17" s="3" t="str">
        <f aca="false">IF(D17="","none",IF(D17&lt;=Settings!$B$3,"simple",IF(D17&lt;=Settings!$B$4,"coding","critical")))</f>
        <v>coding</v>
      </c>
      <c r="G17" s="3" t="n">
        <f aca="false">INDEX(Prompts!$D$2:$D$200,MATCH($B17,Prompts!$A$2:$A$200,0))</f>
        <v>3</v>
      </c>
      <c r="H17" s="3" t="n">
        <f aca="false">INDEX(Prompts!$E$2:$E$200,MATCH($B17,Prompts!$A$2:$A$200,0))</f>
        <v>5</v>
      </c>
      <c r="I17" s="3" t="n">
        <f aca="false">IF(D17="",0,IF(OR(F17=IF(G17&lt;=Settings!$B$3,"simple",IF(G17&lt;=Settings!$B$4,"coding","critical")),F17=IF(H17&lt;=Settings!$B$3,"simple",IF(H17&lt;=Settings!$B$4,"coding","critical"))),1,0))</f>
        <v>1</v>
      </c>
      <c r="J17" s="3" t="n">
        <f aca="false">IF(D17="",0,IF(AND(D17&gt;=G17,D17&lt;=H17),1,0))</f>
        <v>1</v>
      </c>
      <c r="K17" s="3" t="n">
        <f aca="false">IF(E17=INDEX(Prompts!$F$2:$F$200,MATCH($B17,Prompts!$A$2:$A$200,0)),1,0)</f>
        <v>1</v>
      </c>
      <c r="L17" s="3" t="n">
        <f aca="false">IF(AND(G17&gt;Settings!$B$4,OR(D17="",D17&lt;=Settings!$B$4)),1,0)</f>
        <v>0</v>
      </c>
      <c r="M17" s="3" t="n">
        <v>16.08</v>
      </c>
      <c r="N17" s="3" t="n">
        <v>315</v>
      </c>
      <c r="O17" s="3" t="n">
        <v>534</v>
      </c>
      <c r="P17" s="14" t="n">
        <v>0.002985</v>
      </c>
      <c r="Q17" s="3" t="s">
        <v>12</v>
      </c>
      <c r="R17" s="3"/>
    </row>
    <row r="18" customFormat="false" ht="15" hidden="false" customHeight="false" outlineLevel="0" collapsed="false">
      <c r="A18" s="3" t="s">
        <v>12</v>
      </c>
      <c r="B18" s="3" t="n">
        <v>17</v>
      </c>
      <c r="C18" s="3" t="s">
        <v>137</v>
      </c>
      <c r="D18" s="3" t="n">
        <v>3</v>
      </c>
      <c r="E18" s="3" t="s">
        <v>49</v>
      </c>
      <c r="F18" s="3" t="str">
        <f aca="false">IF(D18="","none",IF(D18&lt;=Settings!$B$3,"simple",IF(D18&lt;=Settings!$B$4,"coding","critical")))</f>
        <v>simple</v>
      </c>
      <c r="G18" s="3" t="n">
        <f aca="false">INDEX(Prompts!$D$2:$D$200,MATCH($B18,Prompts!$A$2:$A$200,0))</f>
        <v>3</v>
      </c>
      <c r="H18" s="3" t="n">
        <f aca="false">INDEX(Prompts!$E$2:$E$200,MATCH($B18,Prompts!$A$2:$A$200,0))</f>
        <v>5</v>
      </c>
      <c r="I18" s="3" t="n">
        <f aca="false">IF(D18="",0,IF(OR(F18=IF(G18&lt;=Settings!$B$3,"simple",IF(G18&lt;=Settings!$B$4,"coding","critical")),F18=IF(H18&lt;=Settings!$B$3,"simple",IF(H18&lt;=Settings!$B$4,"coding","critical"))),1,0))</f>
        <v>1</v>
      </c>
      <c r="J18" s="3" t="n">
        <f aca="false">IF(D18="",0,IF(AND(D18&gt;=G18,D18&lt;=H18),1,0))</f>
        <v>1</v>
      </c>
      <c r="K18" s="3" t="n">
        <f aca="false">IF(E18=INDEX(Prompts!$F$2:$F$200,MATCH($B18,Prompts!$A$2:$A$200,0)),1,0)</f>
        <v>0</v>
      </c>
      <c r="L18" s="3" t="n">
        <f aca="false">IF(AND(G18&gt;Settings!$B$4,OR(D18="",D18&lt;=Settings!$B$4)),1,0)</f>
        <v>0</v>
      </c>
      <c r="M18" s="3" t="n">
        <v>14.65</v>
      </c>
      <c r="N18" s="3" t="n">
        <v>314</v>
      </c>
      <c r="O18" s="3" t="n">
        <v>546</v>
      </c>
      <c r="P18" s="14" t="n">
        <v>0.003044</v>
      </c>
      <c r="Q18" s="3" t="s">
        <v>12</v>
      </c>
      <c r="R18" s="3"/>
    </row>
    <row r="19" customFormat="false" ht="15" hidden="false" customHeight="false" outlineLevel="0" collapsed="false">
      <c r="A19" s="3" t="s">
        <v>12</v>
      </c>
      <c r="B19" s="3" t="n">
        <v>18</v>
      </c>
      <c r="C19" s="3" t="s">
        <v>138</v>
      </c>
      <c r="D19" s="3" t="n">
        <v>5</v>
      </c>
      <c r="E19" s="3" t="s">
        <v>49</v>
      </c>
      <c r="F19" s="3" t="str">
        <f aca="false">IF(D19="","none",IF(D19&lt;=Settings!$B$3,"simple",IF(D19&lt;=Settings!$B$4,"coding","critical")))</f>
        <v>coding</v>
      </c>
      <c r="G19" s="3" t="n">
        <f aca="false">INDEX(Prompts!$D$2:$D$200,MATCH($B19,Prompts!$A$2:$A$200,0))</f>
        <v>4</v>
      </c>
      <c r="H19" s="3" t="n">
        <f aca="false">INDEX(Prompts!$E$2:$E$200,MATCH($B19,Prompts!$A$2:$A$200,0))</f>
        <v>6</v>
      </c>
      <c r="I19" s="3" t="n">
        <f aca="false">IF(D19="",0,IF(OR(F19=IF(G19&lt;=Settings!$B$3,"simple",IF(G19&lt;=Settings!$B$4,"coding","critical")),F19=IF(H19&lt;=Settings!$B$3,"simple",IF(H19&lt;=Settings!$B$4,"coding","critical"))),1,0))</f>
        <v>1</v>
      </c>
      <c r="J19" s="3" t="n">
        <f aca="false">IF(D19="",0,IF(AND(D19&gt;=G19,D19&lt;=H19),1,0))</f>
        <v>1</v>
      </c>
      <c r="K19" s="3" t="n">
        <f aca="false">IF(E19=INDEX(Prompts!$F$2:$F$200,MATCH($B19,Prompts!$A$2:$A$200,0)),1,0)</f>
        <v>1</v>
      </c>
      <c r="L19" s="3" t="n">
        <f aca="false">IF(AND(G19&gt;Settings!$B$4,OR(D19="",D19&lt;=Settings!$B$4)),1,0)</f>
        <v>0</v>
      </c>
      <c r="M19" s="3" t="n">
        <v>19.57</v>
      </c>
      <c r="N19" s="3" t="n">
        <v>318</v>
      </c>
      <c r="O19" s="3" t="n">
        <v>688</v>
      </c>
      <c r="P19" s="14" t="n">
        <v>0.003758</v>
      </c>
      <c r="Q19" s="3" t="s">
        <v>12</v>
      </c>
      <c r="R19" s="3"/>
    </row>
    <row r="20" customFormat="false" ht="15" hidden="false" customHeight="false" outlineLevel="0" collapsed="false">
      <c r="A20" s="3" t="s">
        <v>12</v>
      </c>
      <c r="B20" s="3" t="n">
        <v>19</v>
      </c>
      <c r="C20" s="3" t="s">
        <v>139</v>
      </c>
      <c r="D20" s="3" t="n">
        <v>5</v>
      </c>
      <c r="E20" s="3" t="s">
        <v>49</v>
      </c>
      <c r="F20" s="3" t="str">
        <f aca="false">IF(D20="","none",IF(D20&lt;=Settings!$B$3,"simple",IF(D20&lt;=Settings!$B$4,"coding","critical")))</f>
        <v>coding</v>
      </c>
      <c r="G20" s="3" t="n">
        <f aca="false">INDEX(Prompts!$D$2:$D$200,MATCH($B20,Prompts!$A$2:$A$200,0))</f>
        <v>4</v>
      </c>
      <c r="H20" s="3" t="n">
        <f aca="false">INDEX(Prompts!$E$2:$E$200,MATCH($B20,Prompts!$A$2:$A$200,0))</f>
        <v>6</v>
      </c>
      <c r="I20" s="3" t="n">
        <f aca="false">IF(D20="",0,IF(OR(F20=IF(G20&lt;=Settings!$B$3,"simple",IF(G20&lt;=Settings!$B$4,"coding","critical")),F20=IF(H20&lt;=Settings!$B$3,"simple",IF(H20&lt;=Settings!$B$4,"coding","critical"))),1,0))</f>
        <v>1</v>
      </c>
      <c r="J20" s="3" t="n">
        <f aca="false">IF(D20="",0,IF(AND(D20&gt;=G20,D20&lt;=H20),1,0))</f>
        <v>1</v>
      </c>
      <c r="K20" s="3" t="n">
        <f aca="false">IF(E20=INDEX(Prompts!$F$2:$F$200,MATCH($B20,Prompts!$A$2:$A$200,0)),1,0)</f>
        <v>1</v>
      </c>
      <c r="L20" s="3" t="n">
        <f aca="false">IF(AND(G20&gt;Settings!$B$4,OR(D20="",D20&lt;=Settings!$B$4)),1,0)</f>
        <v>0</v>
      </c>
      <c r="M20" s="3" t="n">
        <v>17.88</v>
      </c>
      <c r="N20" s="3" t="n">
        <v>315</v>
      </c>
      <c r="O20" s="3" t="n">
        <v>652</v>
      </c>
      <c r="P20" s="14" t="n">
        <v>0.003575</v>
      </c>
      <c r="Q20" s="3" t="s">
        <v>12</v>
      </c>
      <c r="R20" s="3"/>
    </row>
    <row r="21" customFormat="false" ht="15" hidden="false" customHeight="false" outlineLevel="0" collapsed="false">
      <c r="A21" s="3" t="s">
        <v>12</v>
      </c>
      <c r="B21" s="3" t="n">
        <v>20</v>
      </c>
      <c r="C21" s="3" t="s">
        <v>140</v>
      </c>
      <c r="D21" s="3" t="n">
        <v>6</v>
      </c>
      <c r="E21" s="3" t="s">
        <v>49</v>
      </c>
      <c r="F21" s="3" t="str">
        <f aca="false">IF(D21="","none",IF(D21&lt;=Settings!$B$3,"simple",IF(D21&lt;=Settings!$B$4,"coding","critical")))</f>
        <v>coding</v>
      </c>
      <c r="G21" s="3" t="n">
        <f aca="false">INDEX(Prompts!$D$2:$D$200,MATCH($B21,Prompts!$A$2:$A$200,0))</f>
        <v>4</v>
      </c>
      <c r="H21" s="3" t="n">
        <f aca="false">INDEX(Prompts!$E$2:$E$200,MATCH($B21,Prompts!$A$2:$A$200,0))</f>
        <v>6</v>
      </c>
      <c r="I21" s="3" t="n">
        <f aca="false">IF(D21="",0,IF(OR(F21=IF(G21&lt;=Settings!$B$3,"simple",IF(G21&lt;=Settings!$B$4,"coding","critical")),F21=IF(H21&lt;=Settings!$B$3,"simple",IF(H21&lt;=Settings!$B$4,"coding","critical"))),1,0))</f>
        <v>1</v>
      </c>
      <c r="J21" s="3" t="n">
        <f aca="false">IF(D21="",0,IF(AND(D21&gt;=G21,D21&lt;=H21),1,0))</f>
        <v>1</v>
      </c>
      <c r="K21" s="3" t="n">
        <f aca="false">IF(E21=INDEX(Prompts!$F$2:$F$200,MATCH($B21,Prompts!$A$2:$A$200,0)),1,0)</f>
        <v>1</v>
      </c>
      <c r="L21" s="3" t="n">
        <f aca="false">IF(AND(G21&gt;Settings!$B$4,OR(D21="",D21&lt;=Settings!$B$4)),1,0)</f>
        <v>0</v>
      </c>
      <c r="M21" s="3" t="n">
        <v>15.9</v>
      </c>
      <c r="N21" s="3" t="n">
        <v>313</v>
      </c>
      <c r="O21" s="3" t="n">
        <v>568</v>
      </c>
      <c r="P21" s="14" t="n">
        <v>0.003153</v>
      </c>
      <c r="Q21" s="3" t="s">
        <v>12</v>
      </c>
      <c r="R21" s="3"/>
    </row>
    <row r="22" customFormat="false" ht="15" hidden="false" customHeight="false" outlineLevel="0" collapsed="false">
      <c r="A22" s="3" t="s">
        <v>12</v>
      </c>
      <c r="B22" s="3" t="n">
        <v>21</v>
      </c>
      <c r="C22" s="3" t="s">
        <v>141</v>
      </c>
      <c r="D22" s="3" t="n">
        <v>8</v>
      </c>
      <c r="E22" s="3" t="s">
        <v>56</v>
      </c>
      <c r="F22" s="3" t="str">
        <f aca="false">IF(D22="","none",IF(D22&lt;=Settings!$B$3,"simple",IF(D22&lt;=Settings!$B$4,"coding","critical")))</f>
        <v>critical</v>
      </c>
      <c r="G22" s="3" t="n">
        <f aca="false">INDEX(Prompts!$D$2:$D$200,MATCH($B22,Prompts!$A$2:$A$200,0))</f>
        <v>3</v>
      </c>
      <c r="H22" s="3" t="n">
        <f aca="false">INDEX(Prompts!$E$2:$E$200,MATCH($B22,Prompts!$A$2:$A$200,0))</f>
        <v>5</v>
      </c>
      <c r="I22" s="3" t="n">
        <f aca="false">IF(D22="",0,IF(OR(F22=IF(G22&lt;=Settings!$B$3,"simple",IF(G22&lt;=Settings!$B$4,"coding","critical")),F22=IF(H22&lt;=Settings!$B$3,"simple",IF(H22&lt;=Settings!$B$4,"coding","critical"))),1,0))</f>
        <v>0</v>
      </c>
      <c r="J22" s="3" t="n">
        <f aca="false">IF(D22="",0,IF(AND(D22&gt;=G22,D22&lt;=H22),1,0))</f>
        <v>0</v>
      </c>
      <c r="K22" s="3" t="n">
        <f aca="false">IF(E22=INDEX(Prompts!$F$2:$F$200,MATCH($B22,Prompts!$A$2:$A$200,0)),1,0)</f>
        <v>1</v>
      </c>
      <c r="L22" s="3" t="n">
        <f aca="false">IF(AND(G22&gt;Settings!$B$4,OR(D22="",D22&lt;=Settings!$B$4)),1,0)</f>
        <v>0</v>
      </c>
      <c r="M22" s="3" t="n">
        <v>19.96</v>
      </c>
      <c r="N22" s="3" t="n">
        <v>312</v>
      </c>
      <c r="O22" s="3" t="n">
        <v>838</v>
      </c>
      <c r="P22" s="14" t="n">
        <v>0.004502</v>
      </c>
      <c r="Q22" s="3" t="s">
        <v>12</v>
      </c>
      <c r="R22" s="3"/>
    </row>
    <row r="23" customFormat="false" ht="15" hidden="false" customHeight="false" outlineLevel="0" collapsed="false">
      <c r="A23" s="3" t="s">
        <v>12</v>
      </c>
      <c r="B23" s="3" t="n">
        <v>22</v>
      </c>
      <c r="C23" s="3" t="s">
        <v>142</v>
      </c>
      <c r="D23" s="3" t="n">
        <v>6</v>
      </c>
      <c r="E23" s="3" t="s">
        <v>58</v>
      </c>
      <c r="F23" s="3" t="str">
        <f aca="false">IF(D23="","none",IF(D23&lt;=Settings!$B$3,"simple",IF(D23&lt;=Settings!$B$4,"coding","critical")))</f>
        <v>coding</v>
      </c>
      <c r="G23" s="3" t="n">
        <f aca="false">INDEX(Prompts!$D$2:$D$200,MATCH($B23,Prompts!$A$2:$A$200,0))</f>
        <v>4</v>
      </c>
      <c r="H23" s="3" t="n">
        <f aca="false">INDEX(Prompts!$E$2:$E$200,MATCH($B23,Prompts!$A$2:$A$200,0))</f>
        <v>6</v>
      </c>
      <c r="I23" s="3" t="n">
        <f aca="false">IF(D23="",0,IF(OR(F23=IF(G23&lt;=Settings!$B$3,"simple",IF(G23&lt;=Settings!$B$4,"coding","critical")),F23=IF(H23&lt;=Settings!$B$3,"simple",IF(H23&lt;=Settings!$B$4,"coding","critical"))),1,0))</f>
        <v>1</v>
      </c>
      <c r="J23" s="3" t="n">
        <f aca="false">IF(D23="",0,IF(AND(D23&gt;=G23,D23&lt;=H23),1,0))</f>
        <v>1</v>
      </c>
      <c r="K23" s="3" t="n">
        <f aca="false">IF(E23=INDEX(Prompts!$F$2:$F$200,MATCH($B23,Prompts!$A$2:$A$200,0)),1,0)</f>
        <v>1</v>
      </c>
      <c r="L23" s="3" t="n">
        <f aca="false">IF(AND(G23&gt;Settings!$B$4,OR(D23="",D23&lt;=Settings!$B$4)),1,0)</f>
        <v>0</v>
      </c>
      <c r="M23" s="3" t="n">
        <v>15.79</v>
      </c>
      <c r="N23" s="3" t="n">
        <v>309</v>
      </c>
      <c r="O23" s="3" t="n">
        <v>524</v>
      </c>
      <c r="P23" s="14" t="n">
        <v>0.002929</v>
      </c>
      <c r="Q23" s="3" t="s">
        <v>12</v>
      </c>
      <c r="R23" s="3"/>
    </row>
    <row r="24" customFormat="false" ht="15" hidden="false" customHeight="false" outlineLevel="0" collapsed="false">
      <c r="A24" s="3" t="s">
        <v>12</v>
      </c>
      <c r="B24" s="3" t="n">
        <v>23</v>
      </c>
      <c r="C24" s="3" t="s">
        <v>143</v>
      </c>
      <c r="D24" s="3" t="n">
        <v>5</v>
      </c>
      <c r="E24" s="3" t="s">
        <v>49</v>
      </c>
      <c r="F24" s="3" t="str">
        <f aca="false">IF(D24="","none",IF(D24&lt;=Settings!$B$3,"simple",IF(D24&lt;=Settings!$B$4,"coding","critical")))</f>
        <v>coding</v>
      </c>
      <c r="G24" s="3" t="n">
        <f aca="false">INDEX(Prompts!$D$2:$D$200,MATCH($B24,Prompts!$A$2:$A$200,0))</f>
        <v>5</v>
      </c>
      <c r="H24" s="3" t="n">
        <f aca="false">INDEX(Prompts!$E$2:$E$200,MATCH($B24,Prompts!$A$2:$A$200,0))</f>
        <v>6</v>
      </c>
      <c r="I24" s="3" t="n">
        <f aca="false">IF(D24="",0,IF(OR(F24=IF(G24&lt;=Settings!$B$3,"simple",IF(G24&lt;=Settings!$B$4,"coding","critical")),F24=IF(H24&lt;=Settings!$B$3,"simple",IF(H24&lt;=Settings!$B$4,"coding","critical"))),1,0))</f>
        <v>1</v>
      </c>
      <c r="J24" s="3" t="n">
        <f aca="false">IF(D24="",0,IF(AND(D24&gt;=G24,D24&lt;=H24),1,0))</f>
        <v>1</v>
      </c>
      <c r="K24" s="3" t="n">
        <f aca="false">IF(E24=INDEX(Prompts!$F$2:$F$200,MATCH($B24,Prompts!$A$2:$A$200,0)),1,0)</f>
        <v>1</v>
      </c>
      <c r="L24" s="3" t="n">
        <f aca="false">IF(AND(G24&gt;Settings!$B$4,OR(D24="",D24&lt;=Settings!$B$4)),1,0)</f>
        <v>0</v>
      </c>
      <c r="M24" s="3" t="n">
        <v>14.93</v>
      </c>
      <c r="N24" s="3" t="n">
        <v>314</v>
      </c>
      <c r="O24" s="3" t="n">
        <v>530</v>
      </c>
      <c r="P24" s="14" t="n">
        <v>0.002964</v>
      </c>
      <c r="Q24" s="3" t="s">
        <v>12</v>
      </c>
      <c r="R24" s="3"/>
    </row>
    <row r="25" customFormat="false" ht="15" hidden="false" customHeight="false" outlineLevel="0" collapsed="false">
      <c r="A25" s="3" t="s">
        <v>12</v>
      </c>
      <c r="B25" s="3" t="n">
        <v>24</v>
      </c>
      <c r="C25" s="3" t="s">
        <v>144</v>
      </c>
      <c r="D25" s="3" t="n">
        <v>6</v>
      </c>
      <c r="E25" s="3" t="s">
        <v>49</v>
      </c>
      <c r="F25" s="3" t="str">
        <f aca="false">IF(D25="","none",IF(D25&lt;=Settings!$B$3,"simple",IF(D25&lt;=Settings!$B$4,"coding","critical")))</f>
        <v>coding</v>
      </c>
      <c r="G25" s="3" t="n">
        <f aca="false">INDEX(Prompts!$D$2:$D$200,MATCH($B25,Prompts!$A$2:$A$200,0))</f>
        <v>5</v>
      </c>
      <c r="H25" s="3" t="n">
        <f aca="false">INDEX(Prompts!$E$2:$E$200,MATCH($B25,Prompts!$A$2:$A$200,0))</f>
        <v>7</v>
      </c>
      <c r="I25" s="3" t="n">
        <f aca="false">IF(D25="",0,IF(OR(F25=IF(G25&lt;=Settings!$B$3,"simple",IF(G25&lt;=Settings!$B$4,"coding","critical")),F25=IF(H25&lt;=Settings!$B$3,"simple",IF(H25&lt;=Settings!$B$4,"coding","critical"))),1,0))</f>
        <v>1</v>
      </c>
      <c r="J25" s="3" t="n">
        <f aca="false">IF(D25="",0,IF(AND(D25&gt;=G25,D25&lt;=H25),1,0))</f>
        <v>1</v>
      </c>
      <c r="K25" s="3" t="n">
        <f aca="false">IF(E25=INDEX(Prompts!$F$2:$F$200,MATCH($B25,Prompts!$A$2:$A$200,0)),1,0)</f>
        <v>1</v>
      </c>
      <c r="L25" s="3" t="n">
        <f aca="false">IF(AND(G25&gt;Settings!$B$4,OR(D25="",D25&lt;=Settings!$B$4)),1,0)</f>
        <v>0</v>
      </c>
      <c r="M25" s="3" t="n">
        <v>20.91</v>
      </c>
      <c r="N25" s="3" t="n">
        <v>315</v>
      </c>
      <c r="O25" s="3" t="n">
        <v>847</v>
      </c>
      <c r="P25" s="14" t="n">
        <v>0.00455</v>
      </c>
      <c r="Q25" s="3" t="s">
        <v>12</v>
      </c>
      <c r="R25" s="3"/>
    </row>
    <row r="26" customFormat="false" ht="15" hidden="false" customHeight="false" outlineLevel="0" collapsed="false">
      <c r="A26" s="3" t="s">
        <v>12</v>
      </c>
      <c r="B26" s="3" t="n">
        <v>25</v>
      </c>
      <c r="C26" s="3" t="s">
        <v>140</v>
      </c>
      <c r="D26" s="3" t="n">
        <v>6</v>
      </c>
      <c r="E26" s="3" t="s">
        <v>49</v>
      </c>
      <c r="F26" s="3" t="str">
        <f aca="false">IF(D26="","none",IF(D26&lt;=Settings!$B$3,"simple",IF(D26&lt;=Settings!$B$4,"coding","critical")))</f>
        <v>coding</v>
      </c>
      <c r="G26" s="3" t="n">
        <f aca="false">INDEX(Prompts!$D$2:$D$200,MATCH($B26,Prompts!$A$2:$A$200,0))</f>
        <v>5</v>
      </c>
      <c r="H26" s="3" t="n">
        <f aca="false">INDEX(Prompts!$E$2:$E$200,MATCH($B26,Prompts!$A$2:$A$200,0))</f>
        <v>7</v>
      </c>
      <c r="I26" s="3" t="n">
        <f aca="false">IF(D26="",0,IF(OR(F26=IF(G26&lt;=Settings!$B$3,"simple",IF(G26&lt;=Settings!$B$4,"coding","critical")),F26=IF(H26&lt;=Settings!$B$3,"simple",IF(H26&lt;=Settings!$B$4,"coding","critical"))),1,0))</f>
        <v>1</v>
      </c>
      <c r="J26" s="3" t="n">
        <f aca="false">IF(D26="",0,IF(AND(D26&gt;=G26,D26&lt;=H26),1,0))</f>
        <v>1</v>
      </c>
      <c r="K26" s="3" t="n">
        <f aca="false">IF(E26=INDEX(Prompts!$F$2:$F$200,MATCH($B26,Prompts!$A$2:$A$200,0)),1,0)</f>
        <v>1</v>
      </c>
      <c r="L26" s="3" t="n">
        <f aca="false">IF(AND(G26&gt;Settings!$B$4,OR(D26="",D26&lt;=Settings!$B$4)),1,0)</f>
        <v>0</v>
      </c>
      <c r="M26" s="3" t="n">
        <v>20.92</v>
      </c>
      <c r="N26" s="3" t="n">
        <v>322</v>
      </c>
      <c r="O26" s="3" t="n">
        <v>877</v>
      </c>
      <c r="P26" s="14" t="n">
        <v>0.004707</v>
      </c>
      <c r="Q26" s="3" t="s">
        <v>12</v>
      </c>
      <c r="R26" s="3"/>
    </row>
    <row r="27" customFormat="false" ht="15" hidden="false" customHeight="false" outlineLevel="0" collapsed="false">
      <c r="A27" s="3" t="s">
        <v>12</v>
      </c>
      <c r="B27" s="3" t="n">
        <v>26</v>
      </c>
      <c r="C27" s="3" t="s">
        <v>145</v>
      </c>
      <c r="D27" s="3" t="n">
        <v>5</v>
      </c>
      <c r="E27" s="3" t="s">
        <v>49</v>
      </c>
      <c r="F27" s="3" t="str">
        <f aca="false">IF(D27="","none",IF(D27&lt;=Settings!$B$3,"simple",IF(D27&lt;=Settings!$B$4,"coding","critical")))</f>
        <v>coding</v>
      </c>
      <c r="G27" s="3" t="n">
        <f aca="false">INDEX(Prompts!$D$2:$D$200,MATCH($B27,Prompts!$A$2:$A$200,0))</f>
        <v>5</v>
      </c>
      <c r="H27" s="3" t="n">
        <f aca="false">INDEX(Prompts!$E$2:$E$200,MATCH($B27,Prompts!$A$2:$A$200,0))</f>
        <v>6</v>
      </c>
      <c r="I27" s="3" t="n">
        <f aca="false">IF(D27="",0,IF(OR(F27=IF(G27&lt;=Settings!$B$3,"simple",IF(G27&lt;=Settings!$B$4,"coding","critical")),F27=IF(H27&lt;=Settings!$B$3,"simple",IF(H27&lt;=Settings!$B$4,"coding","critical"))),1,0))</f>
        <v>1</v>
      </c>
      <c r="J27" s="3" t="n">
        <f aca="false">IF(D27="",0,IF(AND(D27&gt;=G27,D27&lt;=H27),1,0))</f>
        <v>1</v>
      </c>
      <c r="K27" s="3" t="n">
        <f aca="false">IF(E27=INDEX(Prompts!$F$2:$F$200,MATCH($B27,Prompts!$A$2:$A$200,0)),1,0)</f>
        <v>1</v>
      </c>
      <c r="L27" s="3" t="n">
        <f aca="false">IF(AND(G27&gt;Settings!$B$4,OR(D27="",D27&lt;=Settings!$B$4)),1,0)</f>
        <v>0</v>
      </c>
      <c r="M27" s="3" t="n">
        <v>18.18</v>
      </c>
      <c r="N27" s="3" t="n">
        <v>307</v>
      </c>
      <c r="O27" s="3" t="n">
        <v>639</v>
      </c>
      <c r="P27" s="14" t="n">
        <v>0.003502</v>
      </c>
      <c r="Q27" s="3" t="s">
        <v>12</v>
      </c>
      <c r="R27" s="3"/>
    </row>
    <row r="28" customFormat="false" ht="15" hidden="false" customHeight="false" outlineLevel="0" collapsed="false">
      <c r="A28" s="3" t="s">
        <v>12</v>
      </c>
      <c r="B28" s="3" t="n">
        <v>27</v>
      </c>
      <c r="C28" s="3" t="s">
        <v>146</v>
      </c>
      <c r="D28" s="3" t="n">
        <v>8</v>
      </c>
      <c r="E28" s="3" t="s">
        <v>49</v>
      </c>
      <c r="F28" s="3" t="str">
        <f aca="false">IF(D28="","none",IF(D28&lt;=Settings!$B$3,"simple",IF(D28&lt;=Settings!$B$4,"coding","critical")))</f>
        <v>critical</v>
      </c>
      <c r="G28" s="3" t="n">
        <f aca="false">INDEX(Prompts!$D$2:$D$200,MATCH($B28,Prompts!$A$2:$A$200,0))</f>
        <v>7</v>
      </c>
      <c r="H28" s="3" t="n">
        <f aca="false">INDEX(Prompts!$E$2:$E$200,MATCH($B28,Prompts!$A$2:$A$200,0))</f>
        <v>9</v>
      </c>
      <c r="I28" s="3" t="n">
        <f aca="false">IF(D28="",0,IF(OR(F28=IF(G28&lt;=Settings!$B$3,"simple",IF(G28&lt;=Settings!$B$4,"coding","critical")),F28=IF(H28&lt;=Settings!$B$3,"simple",IF(H28&lt;=Settings!$B$4,"coding","critical"))),1,0))</f>
        <v>1</v>
      </c>
      <c r="J28" s="3" t="n">
        <f aca="false">IF(D28="",0,IF(AND(D28&gt;=G28,D28&lt;=H28),1,0))</f>
        <v>1</v>
      </c>
      <c r="K28" s="3" t="n">
        <f aca="false">IF(E28=INDEX(Prompts!$F$2:$F$200,MATCH($B28,Prompts!$A$2:$A$200,0)),1,0)</f>
        <v>1</v>
      </c>
      <c r="L28" s="3" t="n">
        <f aca="false">IF(AND(G28&gt;Settings!$B$4,OR(D28="",D28&lt;=Settings!$B$4)),1,0)</f>
        <v>0</v>
      </c>
      <c r="M28" s="3" t="n">
        <v>16.51</v>
      </c>
      <c r="N28" s="3" t="n">
        <v>315</v>
      </c>
      <c r="O28" s="3" t="n">
        <v>536</v>
      </c>
      <c r="P28" s="14" t="n">
        <v>0.002995</v>
      </c>
      <c r="Q28" s="3" t="s">
        <v>12</v>
      </c>
      <c r="R28" s="3"/>
    </row>
    <row r="29" customFormat="false" ht="15" hidden="false" customHeight="false" outlineLevel="0" collapsed="false">
      <c r="A29" s="3" t="s">
        <v>12</v>
      </c>
      <c r="B29" s="3" t="n">
        <v>28</v>
      </c>
      <c r="C29" s="3" t="s">
        <v>147</v>
      </c>
      <c r="D29" s="3" t="n">
        <v>8</v>
      </c>
      <c r="E29" s="3" t="s">
        <v>49</v>
      </c>
      <c r="F29" s="3" t="str">
        <f aca="false">IF(D29="","none",IF(D29&lt;=Settings!$B$3,"simple",IF(D29&lt;=Settings!$B$4,"coding","critical")))</f>
        <v>critical</v>
      </c>
      <c r="G29" s="3" t="n">
        <f aca="false">INDEX(Prompts!$D$2:$D$200,MATCH($B29,Prompts!$A$2:$A$200,0))</f>
        <v>7</v>
      </c>
      <c r="H29" s="3" t="n">
        <f aca="false">INDEX(Prompts!$E$2:$E$200,MATCH($B29,Prompts!$A$2:$A$200,0))</f>
        <v>9</v>
      </c>
      <c r="I29" s="3" t="n">
        <f aca="false">IF(D29="",0,IF(OR(F29=IF(G29&lt;=Settings!$B$3,"simple",IF(G29&lt;=Settings!$B$4,"coding","critical")),F29=IF(H29&lt;=Settings!$B$3,"simple",IF(H29&lt;=Settings!$B$4,"coding","critical"))),1,0))</f>
        <v>1</v>
      </c>
      <c r="J29" s="3" t="n">
        <f aca="false">IF(D29="",0,IF(AND(D29&gt;=G29,D29&lt;=H29),1,0))</f>
        <v>1</v>
      </c>
      <c r="K29" s="3" t="n">
        <f aca="false">IF(E29=INDEX(Prompts!$F$2:$F$200,MATCH($B29,Prompts!$A$2:$A$200,0)),1,0)</f>
        <v>0</v>
      </c>
      <c r="L29" s="3" t="n">
        <f aca="false">IF(AND(G29&gt;Settings!$B$4,OR(D29="",D29&lt;=Settings!$B$4)),1,0)</f>
        <v>0</v>
      </c>
      <c r="M29" s="3" t="n">
        <v>21.55</v>
      </c>
      <c r="N29" s="3" t="n">
        <v>320</v>
      </c>
      <c r="O29" s="3" t="n">
        <v>1053</v>
      </c>
      <c r="P29" s="14" t="n">
        <v>0.005585</v>
      </c>
      <c r="Q29" s="3" t="s">
        <v>12</v>
      </c>
      <c r="R29" s="3"/>
    </row>
    <row r="30" customFormat="false" ht="15" hidden="false" customHeight="false" outlineLevel="0" collapsed="false">
      <c r="A30" s="3" t="s">
        <v>12</v>
      </c>
      <c r="B30" s="3" t="n">
        <v>29</v>
      </c>
      <c r="C30" s="3" t="s">
        <v>148</v>
      </c>
      <c r="D30" s="3" t="n">
        <v>9</v>
      </c>
      <c r="E30" s="3" t="s">
        <v>49</v>
      </c>
      <c r="F30" s="3" t="str">
        <f aca="false">IF(D30="","none",IF(D30&lt;=Settings!$B$3,"simple",IF(D30&lt;=Settings!$B$4,"coding","critical")))</f>
        <v>critical</v>
      </c>
      <c r="G30" s="3" t="n">
        <f aca="false">INDEX(Prompts!$D$2:$D$200,MATCH($B30,Prompts!$A$2:$A$200,0))</f>
        <v>8</v>
      </c>
      <c r="H30" s="3" t="n">
        <f aca="false">INDEX(Prompts!$E$2:$E$200,MATCH($B30,Prompts!$A$2:$A$200,0))</f>
        <v>10</v>
      </c>
      <c r="I30" s="3" t="n">
        <f aca="false">IF(D30="",0,IF(OR(F30=IF(G30&lt;=Settings!$B$3,"simple",IF(G30&lt;=Settings!$B$4,"coding","critical")),F30=IF(H30&lt;=Settings!$B$3,"simple",IF(H30&lt;=Settings!$B$4,"coding","critical"))),1,0))</f>
        <v>1</v>
      </c>
      <c r="J30" s="3" t="n">
        <f aca="false">IF(D30="",0,IF(AND(D30&gt;=G30,D30&lt;=H30),1,0))</f>
        <v>1</v>
      </c>
      <c r="K30" s="3" t="n">
        <f aca="false">IF(E30=INDEX(Prompts!$F$2:$F$200,MATCH($B30,Prompts!$A$2:$A$200,0)),1,0)</f>
        <v>1</v>
      </c>
      <c r="L30" s="3" t="n">
        <f aca="false">IF(AND(G30&gt;Settings!$B$4,OR(D30="",D30&lt;=Settings!$B$4)),1,0)</f>
        <v>0</v>
      </c>
      <c r="M30" s="3" t="n">
        <v>17.86</v>
      </c>
      <c r="N30" s="3" t="n">
        <v>318</v>
      </c>
      <c r="O30" s="3" t="n">
        <v>659</v>
      </c>
      <c r="P30" s="14" t="n">
        <v>0.003613</v>
      </c>
      <c r="Q30" s="3" t="s">
        <v>12</v>
      </c>
      <c r="R30" s="3"/>
    </row>
    <row r="31" customFormat="false" ht="15" hidden="false" customHeight="false" outlineLevel="0" collapsed="false">
      <c r="A31" s="3" t="s">
        <v>12</v>
      </c>
      <c r="B31" s="3" t="n">
        <v>30</v>
      </c>
      <c r="C31" s="3" t="s">
        <v>149</v>
      </c>
      <c r="D31" s="3" t="n">
        <v>9</v>
      </c>
      <c r="E31" s="3" t="s">
        <v>69</v>
      </c>
      <c r="F31" s="3" t="str">
        <f aca="false">IF(D31="","none",IF(D31&lt;=Settings!$B$3,"simple",IF(D31&lt;=Settings!$B$4,"coding","critical")))</f>
        <v>critical</v>
      </c>
      <c r="G31" s="3" t="n">
        <f aca="false">INDEX(Prompts!$D$2:$D$200,MATCH($B31,Prompts!$A$2:$A$200,0))</f>
        <v>9</v>
      </c>
      <c r="H31" s="3" t="n">
        <f aca="false">INDEX(Prompts!$E$2:$E$200,MATCH($B31,Prompts!$A$2:$A$200,0))</f>
        <v>10</v>
      </c>
      <c r="I31" s="3" t="n">
        <f aca="false">IF(D31="",0,IF(OR(F31=IF(G31&lt;=Settings!$B$3,"simple",IF(G31&lt;=Settings!$B$4,"coding","critical")),F31=IF(H31&lt;=Settings!$B$3,"simple",IF(H31&lt;=Settings!$B$4,"coding","critical"))),1,0))</f>
        <v>1</v>
      </c>
      <c r="J31" s="3" t="n">
        <f aca="false">IF(D31="",0,IF(AND(D31&gt;=G31,D31&lt;=H31),1,0))</f>
        <v>1</v>
      </c>
      <c r="K31" s="3" t="n">
        <f aca="false">IF(E31=INDEX(Prompts!$F$2:$F$200,MATCH($B31,Prompts!$A$2:$A$200,0)),1,0)</f>
        <v>0</v>
      </c>
      <c r="L31" s="3" t="n">
        <f aca="false">IF(AND(G31&gt;Settings!$B$4,OR(D31="",D31&lt;=Settings!$B$4)),1,0)</f>
        <v>0</v>
      </c>
      <c r="M31" s="3" t="n">
        <v>43.53</v>
      </c>
      <c r="N31" s="3" t="n">
        <v>320</v>
      </c>
      <c r="O31" s="3" t="n">
        <v>2661</v>
      </c>
      <c r="P31" s="14" t="n">
        <v>0.013625</v>
      </c>
      <c r="Q31" s="3" t="s">
        <v>12</v>
      </c>
      <c r="R31" s="3"/>
    </row>
    <row r="32" customFormat="false" ht="15" hidden="false" customHeight="false" outlineLevel="0" collapsed="false">
      <c r="A32" s="3" t="s">
        <v>12</v>
      </c>
      <c r="B32" s="3" t="n">
        <v>31</v>
      </c>
      <c r="C32" s="3" t="s">
        <v>150</v>
      </c>
      <c r="D32" s="3" t="n">
        <v>9</v>
      </c>
      <c r="E32" s="3" t="s">
        <v>49</v>
      </c>
      <c r="F32" s="3" t="str">
        <f aca="false">IF(D32="","none",IF(D32&lt;=Settings!$B$3,"simple",IF(D32&lt;=Settings!$B$4,"coding","critical")))</f>
        <v>critical</v>
      </c>
      <c r="G32" s="3" t="n">
        <f aca="false">INDEX(Prompts!$D$2:$D$200,MATCH($B32,Prompts!$A$2:$A$200,0))</f>
        <v>9</v>
      </c>
      <c r="H32" s="3" t="n">
        <f aca="false">INDEX(Prompts!$E$2:$E$200,MATCH($B32,Prompts!$A$2:$A$200,0))</f>
        <v>10</v>
      </c>
      <c r="I32" s="3" t="n">
        <f aca="false">IF(D32="",0,IF(OR(F32=IF(G32&lt;=Settings!$B$3,"simple",IF(G32&lt;=Settings!$B$4,"coding","critical")),F32=IF(H32&lt;=Settings!$B$3,"simple",IF(H32&lt;=Settings!$B$4,"coding","critical"))),1,0))</f>
        <v>1</v>
      </c>
      <c r="J32" s="3" t="n">
        <f aca="false">IF(D32="",0,IF(AND(D32&gt;=G32,D32&lt;=H32),1,0))</f>
        <v>1</v>
      </c>
      <c r="K32" s="3" t="n">
        <f aca="false">IF(E32=INDEX(Prompts!$F$2:$F$200,MATCH($B32,Prompts!$A$2:$A$200,0)),1,0)</f>
        <v>0</v>
      </c>
      <c r="L32" s="3" t="n">
        <f aca="false">IF(AND(G32&gt;Settings!$B$4,OR(D32="",D32&lt;=Settings!$B$4)),1,0)</f>
        <v>0</v>
      </c>
      <c r="M32" s="3" t="n">
        <v>16.35</v>
      </c>
      <c r="N32" s="3" t="n">
        <v>316</v>
      </c>
      <c r="O32" s="3" t="n">
        <v>586</v>
      </c>
      <c r="P32" s="14" t="n">
        <v>0.003246</v>
      </c>
      <c r="Q32" s="3" t="s">
        <v>12</v>
      </c>
      <c r="R32" s="3"/>
    </row>
    <row r="33" customFormat="false" ht="15" hidden="false" customHeight="false" outlineLevel="0" collapsed="false">
      <c r="A33" s="3" t="s">
        <v>12</v>
      </c>
      <c r="B33" s="3" t="n">
        <v>32</v>
      </c>
      <c r="C33" s="3" t="s">
        <v>151</v>
      </c>
      <c r="D33" s="3" t="n">
        <v>10</v>
      </c>
      <c r="E33" s="3" t="s">
        <v>49</v>
      </c>
      <c r="F33" s="3" t="str">
        <f aca="false">IF(D33="","none",IF(D33&lt;=Settings!$B$3,"simple",IF(D33&lt;=Settings!$B$4,"coding","critical")))</f>
        <v>critical</v>
      </c>
      <c r="G33" s="3" t="n">
        <f aca="false">INDEX(Prompts!$D$2:$D$200,MATCH($B33,Prompts!$A$2:$A$200,0))</f>
        <v>9</v>
      </c>
      <c r="H33" s="3" t="n">
        <f aca="false">INDEX(Prompts!$E$2:$E$200,MATCH($B33,Prompts!$A$2:$A$200,0))</f>
        <v>10</v>
      </c>
      <c r="I33" s="3" t="n">
        <f aca="false">IF(D33="",0,IF(OR(F33=IF(G33&lt;=Settings!$B$3,"simple",IF(G33&lt;=Settings!$B$4,"coding","critical")),F33=IF(H33&lt;=Settings!$B$3,"simple",IF(H33&lt;=Settings!$B$4,"coding","critical"))),1,0))</f>
        <v>1</v>
      </c>
      <c r="J33" s="3" t="n">
        <f aca="false">IF(D33="",0,IF(AND(D33&gt;=G33,D33&lt;=H33),1,0))</f>
        <v>1</v>
      </c>
      <c r="K33" s="3" t="n">
        <f aca="false">IF(E33=INDEX(Prompts!$F$2:$F$200,MATCH($B33,Prompts!$A$2:$A$200,0)),1,0)</f>
        <v>1</v>
      </c>
      <c r="L33" s="3" t="n">
        <f aca="false">IF(AND(G33&gt;Settings!$B$4,OR(D33="",D33&lt;=Settings!$B$4)),1,0)</f>
        <v>0</v>
      </c>
      <c r="M33" s="3" t="n">
        <v>20.62</v>
      </c>
      <c r="N33" s="3" t="n">
        <v>328</v>
      </c>
      <c r="O33" s="3" t="n">
        <v>1028</v>
      </c>
      <c r="P33" s="14" t="n">
        <v>0.005468</v>
      </c>
      <c r="Q33" s="3" t="s">
        <v>12</v>
      </c>
      <c r="R33" s="3"/>
    </row>
    <row r="34" customFormat="false" ht="15" hidden="false" customHeight="false" outlineLevel="0" collapsed="false">
      <c r="A34" s="3" t="s">
        <v>13</v>
      </c>
      <c r="B34" s="3" t="n">
        <v>1</v>
      </c>
      <c r="C34" s="3" t="s">
        <v>132</v>
      </c>
      <c r="D34" s="3" t="n">
        <v>3</v>
      </c>
      <c r="E34" s="3" t="s">
        <v>49</v>
      </c>
      <c r="F34" s="3" t="str">
        <f aca="false">IF(D34="","none",IF(D34&lt;=Settings!$B$3,"simple",IF(D34&lt;=Settings!$B$4,"coding","critical")))</f>
        <v>simple</v>
      </c>
      <c r="G34" s="3" t="n">
        <f aca="false">INDEX(Prompts!$D$2:$D$200,MATCH($B34,Prompts!$A$2:$A$200,0))</f>
        <v>1</v>
      </c>
      <c r="H34" s="3" t="n">
        <f aca="false">INDEX(Prompts!$E$2:$E$200,MATCH($B34,Prompts!$A$2:$A$200,0))</f>
        <v>2</v>
      </c>
      <c r="I34" s="3" t="n">
        <f aca="false">IF(D34="",0,IF(OR(F34=IF(G34&lt;=Settings!$B$3,"simple",IF(G34&lt;=Settings!$B$4,"coding","critical")),F34=IF(H34&lt;=Settings!$B$3,"simple",IF(H34&lt;=Settings!$B$4,"coding","critical"))),1,0))</f>
        <v>1</v>
      </c>
      <c r="J34" s="3" t="n">
        <f aca="false">IF(D34="",0,IF(AND(D34&gt;=G34,D34&lt;=H34),1,0))</f>
        <v>0</v>
      </c>
      <c r="K34" s="3" t="n">
        <f aca="false">IF(E34=INDEX(Prompts!$F$2:$F$200,MATCH($B34,Prompts!$A$2:$A$200,0)),1,0)</f>
        <v>1</v>
      </c>
      <c r="L34" s="3" t="n">
        <f aca="false">IF(AND(G34&gt;Settings!$B$4,OR(D34="",D34&lt;=Settings!$B$4)),1,0)</f>
        <v>0</v>
      </c>
      <c r="M34" s="3" t="n">
        <v>16.25</v>
      </c>
      <c r="N34" s="3" t="n">
        <v>307</v>
      </c>
      <c r="O34" s="3" t="n">
        <v>282</v>
      </c>
      <c r="P34" s="14" t="n">
        <v>0.0001717</v>
      </c>
      <c r="Q34" s="3" t="s">
        <v>13</v>
      </c>
      <c r="R34" s="3"/>
    </row>
    <row r="35" customFormat="false" ht="15" hidden="false" customHeight="false" outlineLevel="0" collapsed="false">
      <c r="A35" s="3" t="s">
        <v>13</v>
      </c>
      <c r="B35" s="3" t="n">
        <v>2</v>
      </c>
      <c r="C35" s="3" t="s">
        <v>128</v>
      </c>
      <c r="D35" s="3" t="n">
        <v>1</v>
      </c>
      <c r="E35" s="3" t="s">
        <v>56</v>
      </c>
      <c r="F35" s="3" t="str">
        <f aca="false">IF(D35="","none",IF(D35&lt;=Settings!$B$3,"simple",IF(D35&lt;=Settings!$B$4,"coding","critical")))</f>
        <v>simple</v>
      </c>
      <c r="G35" s="3" t="n">
        <f aca="false">INDEX(Prompts!$D$2:$D$200,MATCH($B35,Prompts!$A$2:$A$200,0))</f>
        <v>1</v>
      </c>
      <c r="H35" s="3" t="n">
        <f aca="false">INDEX(Prompts!$E$2:$E$200,MATCH($B35,Prompts!$A$2:$A$200,0))</f>
        <v>2</v>
      </c>
      <c r="I35" s="3" t="n">
        <f aca="false">IF(D35="",0,IF(OR(F35=IF(G35&lt;=Settings!$B$3,"simple",IF(G35&lt;=Settings!$B$4,"coding","critical")),F35=IF(H35&lt;=Settings!$B$3,"simple",IF(H35&lt;=Settings!$B$4,"coding","critical"))),1,0))</f>
        <v>1</v>
      </c>
      <c r="J35" s="3" t="n">
        <f aca="false">IF(D35="",0,IF(AND(D35&gt;=G35,D35&lt;=H35),1,0))</f>
        <v>1</v>
      </c>
      <c r="K35" s="3" t="n">
        <f aca="false">IF(E35=INDEX(Prompts!$F$2:$F$200,MATCH($B35,Prompts!$A$2:$A$200,0)),1,0)</f>
        <v>0</v>
      </c>
      <c r="L35" s="3" t="n">
        <f aca="false">IF(AND(G35&gt;Settings!$B$4,OR(D35="",D35&lt;=Settings!$B$4)),1,0)</f>
        <v>0</v>
      </c>
      <c r="M35" s="3" t="n">
        <v>15.45</v>
      </c>
      <c r="N35" s="3" t="n">
        <v>312</v>
      </c>
      <c r="O35" s="3" t="n">
        <v>423</v>
      </c>
      <c r="P35" s="14" t="n">
        <v>0.0002427</v>
      </c>
      <c r="Q35" s="3" t="s">
        <v>13</v>
      </c>
      <c r="R35" s="3"/>
    </row>
    <row r="36" customFormat="false" ht="15" hidden="false" customHeight="false" outlineLevel="0" collapsed="false">
      <c r="A36" s="3" t="s">
        <v>13</v>
      </c>
      <c r="B36" s="3" t="n">
        <v>3</v>
      </c>
      <c r="C36" s="3" t="s">
        <v>129</v>
      </c>
      <c r="D36" s="3" t="n">
        <v>1</v>
      </c>
      <c r="E36" s="3" t="s">
        <v>53</v>
      </c>
      <c r="F36" s="3" t="str">
        <f aca="false">IF(D36="","none",IF(D36&lt;=Settings!$B$3,"simple",IF(D36&lt;=Settings!$B$4,"coding","critical")))</f>
        <v>simple</v>
      </c>
      <c r="G36" s="3" t="n">
        <f aca="false">INDEX(Prompts!$D$2:$D$200,MATCH($B36,Prompts!$A$2:$A$200,0))</f>
        <v>1</v>
      </c>
      <c r="H36" s="3" t="n">
        <f aca="false">INDEX(Prompts!$E$2:$E$200,MATCH($B36,Prompts!$A$2:$A$200,0))</f>
        <v>2</v>
      </c>
      <c r="I36" s="3" t="n">
        <f aca="false">IF(D36="",0,IF(OR(F36=IF(G36&lt;=Settings!$B$3,"simple",IF(G36&lt;=Settings!$B$4,"coding","critical")),F36=IF(H36&lt;=Settings!$B$3,"simple",IF(H36&lt;=Settings!$B$4,"coding","critical"))),1,0))</f>
        <v>1</v>
      </c>
      <c r="J36" s="3" t="n">
        <f aca="false">IF(D36="",0,IF(AND(D36&gt;=G36,D36&lt;=H36),1,0))</f>
        <v>1</v>
      </c>
      <c r="K36" s="3" t="n">
        <f aca="false">IF(E36=INDEX(Prompts!$F$2:$F$200,MATCH($B36,Prompts!$A$2:$A$200,0)),1,0)</f>
        <v>1</v>
      </c>
      <c r="L36" s="3" t="n">
        <f aca="false">IF(AND(G36&gt;Settings!$B$4,OR(D36="",D36&lt;=Settings!$B$4)),1,0)</f>
        <v>0</v>
      </c>
      <c r="M36" s="3" t="n">
        <v>15.69</v>
      </c>
      <c r="N36" s="3" t="n">
        <v>310</v>
      </c>
      <c r="O36" s="3" t="n">
        <v>342</v>
      </c>
      <c r="P36" s="14" t="n">
        <v>0.000202</v>
      </c>
      <c r="Q36" s="3" t="s">
        <v>13</v>
      </c>
      <c r="R36" s="3"/>
    </row>
    <row r="37" customFormat="false" ht="15" hidden="false" customHeight="false" outlineLevel="0" collapsed="false">
      <c r="A37" s="3" t="s">
        <v>13</v>
      </c>
      <c r="B37" s="3" t="n">
        <v>4</v>
      </c>
      <c r="C37" s="3" t="s">
        <v>128</v>
      </c>
      <c r="D37" s="3" t="n">
        <v>1</v>
      </c>
      <c r="E37" s="3" t="s">
        <v>56</v>
      </c>
      <c r="F37" s="3" t="str">
        <f aca="false">IF(D37="","none",IF(D37&lt;=Settings!$B$3,"simple",IF(D37&lt;=Settings!$B$4,"coding","critical")))</f>
        <v>simple</v>
      </c>
      <c r="G37" s="3" t="n">
        <f aca="false">INDEX(Prompts!$D$2:$D$200,MATCH($B37,Prompts!$A$2:$A$200,0))</f>
        <v>1</v>
      </c>
      <c r="H37" s="3" t="n">
        <f aca="false">INDEX(Prompts!$E$2:$E$200,MATCH($B37,Prompts!$A$2:$A$200,0))</f>
        <v>2</v>
      </c>
      <c r="I37" s="3" t="n">
        <f aca="false">IF(D37="",0,IF(OR(F37=IF(G37&lt;=Settings!$B$3,"simple",IF(G37&lt;=Settings!$B$4,"coding","critical")),F37=IF(H37&lt;=Settings!$B$3,"simple",IF(H37&lt;=Settings!$B$4,"coding","critical"))),1,0))</f>
        <v>1</v>
      </c>
      <c r="J37" s="3" t="n">
        <f aca="false">IF(D37="",0,IF(AND(D37&gt;=G37,D37&lt;=H37),1,0))</f>
        <v>1</v>
      </c>
      <c r="K37" s="3" t="n">
        <f aca="false">IF(E37=INDEX(Prompts!$F$2:$F$200,MATCH($B37,Prompts!$A$2:$A$200,0)),1,0)</f>
        <v>1</v>
      </c>
      <c r="L37" s="3" t="n">
        <f aca="false">IF(AND(G37&gt;Settings!$B$4,OR(D37="",D37&lt;=Settings!$B$4)),1,0)</f>
        <v>0</v>
      </c>
      <c r="M37" s="3" t="n">
        <v>15.57</v>
      </c>
      <c r="N37" s="3" t="n">
        <v>302</v>
      </c>
      <c r="O37" s="3" t="n">
        <v>438</v>
      </c>
      <c r="P37" s="14" t="n">
        <v>0.0002492</v>
      </c>
      <c r="Q37" s="3" t="s">
        <v>13</v>
      </c>
      <c r="R37" s="3"/>
    </row>
    <row r="38" customFormat="false" ht="15" hidden="false" customHeight="false" outlineLevel="0" collapsed="false">
      <c r="A38" s="3" t="s">
        <v>13</v>
      </c>
      <c r="B38" s="3" t="n">
        <v>5</v>
      </c>
      <c r="C38" s="3" t="s">
        <v>152</v>
      </c>
      <c r="D38" s="3" t="n">
        <v>1</v>
      </c>
      <c r="E38" s="3" t="s">
        <v>58</v>
      </c>
      <c r="F38" s="3" t="str">
        <f aca="false">IF(D38="","none",IF(D38&lt;=Settings!$B$3,"simple",IF(D38&lt;=Settings!$B$4,"coding","critical")))</f>
        <v>simple</v>
      </c>
      <c r="G38" s="3" t="n">
        <f aca="false">INDEX(Prompts!$D$2:$D$200,MATCH($B38,Prompts!$A$2:$A$200,0))</f>
        <v>1</v>
      </c>
      <c r="H38" s="3" t="n">
        <f aca="false">INDEX(Prompts!$E$2:$E$200,MATCH($B38,Prompts!$A$2:$A$200,0))</f>
        <v>2</v>
      </c>
      <c r="I38" s="3" t="n">
        <f aca="false">IF(D38="",0,IF(OR(F38=IF(G38&lt;=Settings!$B$3,"simple",IF(G38&lt;=Settings!$B$4,"coding","critical")),F38=IF(H38&lt;=Settings!$B$3,"simple",IF(H38&lt;=Settings!$B$4,"coding","critical"))),1,0))</f>
        <v>1</v>
      </c>
      <c r="J38" s="3" t="n">
        <f aca="false">IF(D38="",0,IF(AND(D38&gt;=G38,D38&lt;=H38),1,0))</f>
        <v>1</v>
      </c>
      <c r="K38" s="3" t="n">
        <f aca="false">IF(E38=INDEX(Prompts!$F$2:$F$200,MATCH($B38,Prompts!$A$2:$A$200,0)),1,0)</f>
        <v>1</v>
      </c>
      <c r="L38" s="3" t="n">
        <f aca="false">IF(AND(G38&gt;Settings!$B$4,OR(D38="",D38&lt;=Settings!$B$4)),1,0)</f>
        <v>0</v>
      </c>
      <c r="M38" s="3" t="n">
        <v>15.36</v>
      </c>
      <c r="N38" s="3" t="n">
        <v>305</v>
      </c>
      <c r="O38" s="3" t="n">
        <v>345</v>
      </c>
      <c r="P38" s="14" t="n">
        <v>0.000203</v>
      </c>
      <c r="Q38" s="3" t="s">
        <v>13</v>
      </c>
      <c r="R38" s="3"/>
    </row>
    <row r="39" customFormat="false" ht="15" hidden="false" customHeight="false" outlineLevel="0" collapsed="false">
      <c r="A39" s="3" t="s">
        <v>13</v>
      </c>
      <c r="B39" s="3" t="n">
        <v>6</v>
      </c>
      <c r="C39" s="3" t="s">
        <v>128</v>
      </c>
      <c r="D39" s="3" t="n">
        <v>1</v>
      </c>
      <c r="E39" s="3" t="s">
        <v>56</v>
      </c>
      <c r="F39" s="3" t="str">
        <f aca="false">IF(D39="","none",IF(D39&lt;=Settings!$B$3,"simple",IF(D39&lt;=Settings!$B$4,"coding","critical")))</f>
        <v>simple</v>
      </c>
      <c r="G39" s="3" t="n">
        <f aca="false">INDEX(Prompts!$D$2:$D$200,MATCH($B39,Prompts!$A$2:$A$200,0))</f>
        <v>1</v>
      </c>
      <c r="H39" s="3" t="n">
        <f aca="false">INDEX(Prompts!$E$2:$E$200,MATCH($B39,Prompts!$A$2:$A$200,0))</f>
        <v>2</v>
      </c>
      <c r="I39" s="3" t="n">
        <f aca="false">IF(D39="",0,IF(OR(F39=IF(G39&lt;=Settings!$B$3,"simple",IF(G39&lt;=Settings!$B$4,"coding","critical")),F39=IF(H39&lt;=Settings!$B$3,"simple",IF(H39&lt;=Settings!$B$4,"coding","critical"))),1,0))</f>
        <v>1</v>
      </c>
      <c r="J39" s="3" t="n">
        <f aca="false">IF(D39="",0,IF(AND(D39&gt;=G39,D39&lt;=H39),1,0))</f>
        <v>1</v>
      </c>
      <c r="K39" s="3" t="n">
        <f aca="false">IF(E39=INDEX(Prompts!$F$2:$F$200,MATCH($B39,Prompts!$A$2:$A$200,0)),1,0)</f>
        <v>0</v>
      </c>
      <c r="L39" s="3" t="n">
        <f aca="false">IF(AND(G39&gt;Settings!$B$4,OR(D39="",D39&lt;=Settings!$B$4)),1,0)</f>
        <v>0</v>
      </c>
      <c r="M39" s="3" t="n">
        <v>17.47</v>
      </c>
      <c r="N39" s="3" t="n">
        <v>304</v>
      </c>
      <c r="O39" s="3" t="n">
        <v>397</v>
      </c>
      <c r="P39" s="14" t="n">
        <v>0.0002289</v>
      </c>
      <c r="Q39" s="3" t="s">
        <v>13</v>
      </c>
      <c r="R39" s="3"/>
    </row>
    <row r="40" customFormat="false" ht="15" hidden="false" customHeight="false" outlineLevel="0" collapsed="false">
      <c r="A40" s="3" t="s">
        <v>13</v>
      </c>
      <c r="B40" s="3" t="n">
        <v>7</v>
      </c>
      <c r="C40" s="3" t="s">
        <v>132</v>
      </c>
      <c r="D40" s="3" t="n">
        <v>3</v>
      </c>
      <c r="E40" s="3" t="s">
        <v>49</v>
      </c>
      <c r="F40" s="3" t="str">
        <f aca="false">IF(D40="","none",IF(D40&lt;=Settings!$B$3,"simple",IF(D40&lt;=Settings!$B$4,"coding","critical")))</f>
        <v>simple</v>
      </c>
      <c r="G40" s="3" t="n">
        <f aca="false">INDEX(Prompts!$D$2:$D$200,MATCH($B40,Prompts!$A$2:$A$200,0))</f>
        <v>1</v>
      </c>
      <c r="H40" s="3" t="n">
        <f aca="false">INDEX(Prompts!$E$2:$E$200,MATCH($B40,Prompts!$A$2:$A$200,0))</f>
        <v>3</v>
      </c>
      <c r="I40" s="3" t="n">
        <f aca="false">IF(D40="",0,IF(OR(F40=IF(G40&lt;=Settings!$B$3,"simple",IF(G40&lt;=Settings!$B$4,"coding","critical")),F40=IF(H40&lt;=Settings!$B$3,"simple",IF(H40&lt;=Settings!$B$4,"coding","critical"))),1,0))</f>
        <v>1</v>
      </c>
      <c r="J40" s="3" t="n">
        <f aca="false">IF(D40="",0,IF(AND(D40&gt;=G40,D40&lt;=H40),1,0))</f>
        <v>1</v>
      </c>
      <c r="K40" s="3" t="n">
        <f aca="false">IF(E40=INDEX(Prompts!$F$2:$F$200,MATCH($B40,Prompts!$A$2:$A$200,0)),1,0)</f>
        <v>1</v>
      </c>
      <c r="L40" s="3" t="n">
        <f aca="false">IF(AND(G40&gt;Settings!$B$4,OR(D40="",D40&lt;=Settings!$B$4)),1,0)</f>
        <v>0</v>
      </c>
      <c r="M40" s="3" t="n">
        <v>20.59</v>
      </c>
      <c r="N40" s="3" t="n">
        <v>306</v>
      </c>
      <c r="O40" s="3" t="n">
        <v>183</v>
      </c>
      <c r="P40" s="14" t="n">
        <v>0.0001221</v>
      </c>
      <c r="Q40" s="3" t="s">
        <v>13</v>
      </c>
      <c r="R40" s="3"/>
    </row>
    <row r="41" customFormat="false" ht="15" hidden="false" customHeight="false" outlineLevel="0" collapsed="false">
      <c r="A41" s="3" t="s">
        <v>13</v>
      </c>
      <c r="B41" s="3" t="n">
        <v>8</v>
      </c>
      <c r="C41" s="3" t="s">
        <v>132</v>
      </c>
      <c r="D41" s="3" t="n">
        <v>3</v>
      </c>
      <c r="E41" s="3" t="s">
        <v>49</v>
      </c>
      <c r="F41" s="3" t="str">
        <f aca="false">IF(D41="","none",IF(D41&lt;=Settings!$B$3,"simple",IF(D41&lt;=Settings!$B$4,"coding","critical")))</f>
        <v>simple</v>
      </c>
      <c r="G41" s="3" t="n">
        <f aca="false">INDEX(Prompts!$D$2:$D$200,MATCH($B41,Prompts!$A$2:$A$200,0))</f>
        <v>2</v>
      </c>
      <c r="H41" s="3" t="n">
        <f aca="false">INDEX(Prompts!$E$2:$E$200,MATCH($B41,Prompts!$A$2:$A$200,0))</f>
        <v>3</v>
      </c>
      <c r="I41" s="3" t="n">
        <f aca="false">IF(D41="",0,IF(OR(F41=IF(G41&lt;=Settings!$B$3,"simple",IF(G41&lt;=Settings!$B$4,"coding","critical")),F41=IF(H41&lt;=Settings!$B$3,"simple",IF(H41&lt;=Settings!$B$4,"coding","critical"))),1,0))</f>
        <v>1</v>
      </c>
      <c r="J41" s="3" t="n">
        <f aca="false">IF(D41="",0,IF(AND(D41&gt;=G41,D41&lt;=H41),1,0))</f>
        <v>1</v>
      </c>
      <c r="K41" s="3" t="n">
        <f aca="false">IF(E41=INDEX(Prompts!$F$2:$F$200,MATCH($B41,Prompts!$A$2:$A$200,0)),1,0)</f>
        <v>1</v>
      </c>
      <c r="L41" s="3" t="n">
        <f aca="false">IF(AND(G41&gt;Settings!$B$4,OR(D41="",D41&lt;=Settings!$B$4)),1,0)</f>
        <v>0</v>
      </c>
      <c r="M41" s="3" t="n">
        <v>14.59</v>
      </c>
      <c r="N41" s="3" t="n">
        <v>309</v>
      </c>
      <c r="O41" s="3" t="n">
        <v>350</v>
      </c>
      <c r="P41" s="14" t="n">
        <v>0.0002059</v>
      </c>
      <c r="Q41" s="3" t="s">
        <v>13</v>
      </c>
      <c r="R41" s="3"/>
    </row>
    <row r="42" customFormat="false" ht="15" hidden="false" customHeight="false" outlineLevel="0" collapsed="false">
      <c r="A42" s="3" t="s">
        <v>13</v>
      </c>
      <c r="B42" s="3" t="n">
        <v>9</v>
      </c>
      <c r="C42" s="3" t="s">
        <v>132</v>
      </c>
      <c r="D42" s="3" t="n">
        <v>3</v>
      </c>
      <c r="E42" s="3" t="s">
        <v>49</v>
      </c>
      <c r="F42" s="3" t="str">
        <f aca="false">IF(D42="","none",IF(D42&lt;=Settings!$B$3,"simple",IF(D42&lt;=Settings!$B$4,"coding","critical")))</f>
        <v>simple</v>
      </c>
      <c r="G42" s="3" t="n">
        <f aca="false">INDEX(Prompts!$D$2:$D$200,MATCH($B42,Prompts!$A$2:$A$200,0))</f>
        <v>2</v>
      </c>
      <c r="H42" s="3" t="n">
        <f aca="false">INDEX(Prompts!$E$2:$E$200,MATCH($B42,Prompts!$A$2:$A$200,0))</f>
        <v>3</v>
      </c>
      <c r="I42" s="3" t="n">
        <f aca="false">IF(D42="",0,IF(OR(F42=IF(G42&lt;=Settings!$B$3,"simple",IF(G42&lt;=Settings!$B$4,"coding","critical")),F42=IF(H42&lt;=Settings!$B$3,"simple",IF(H42&lt;=Settings!$B$4,"coding","critical"))),1,0))</f>
        <v>1</v>
      </c>
      <c r="J42" s="3" t="n">
        <f aca="false">IF(D42="",0,IF(AND(D42&gt;=G42,D42&lt;=H42),1,0))</f>
        <v>1</v>
      </c>
      <c r="K42" s="3" t="n">
        <f aca="false">IF(E42=INDEX(Prompts!$F$2:$F$200,MATCH($B42,Prompts!$A$2:$A$200,0)),1,0)</f>
        <v>1</v>
      </c>
      <c r="L42" s="3" t="n">
        <f aca="false">IF(AND(G42&gt;Settings!$B$4,OR(D42="",D42&lt;=Settings!$B$4)),1,0)</f>
        <v>0</v>
      </c>
      <c r="M42" s="3" t="n">
        <v>11.91</v>
      </c>
      <c r="N42" s="3" t="n">
        <v>305</v>
      </c>
      <c r="O42" s="3" t="n">
        <v>327</v>
      </c>
      <c r="P42" s="14" t="n">
        <v>0.000194</v>
      </c>
      <c r="Q42" s="3" t="s">
        <v>13</v>
      </c>
      <c r="R42" s="3"/>
    </row>
    <row r="43" customFormat="false" ht="15" hidden="false" customHeight="false" outlineLevel="0" collapsed="false">
      <c r="A43" s="3" t="s">
        <v>13</v>
      </c>
      <c r="B43" s="3" t="n">
        <v>10</v>
      </c>
      <c r="C43" s="3" t="s">
        <v>132</v>
      </c>
      <c r="D43" s="3" t="n">
        <v>3</v>
      </c>
      <c r="E43" s="3" t="s">
        <v>49</v>
      </c>
      <c r="F43" s="3" t="str">
        <f aca="false">IF(D43="","none",IF(D43&lt;=Settings!$B$3,"simple",IF(D43&lt;=Settings!$B$4,"coding","critical")))</f>
        <v>simple</v>
      </c>
      <c r="G43" s="3" t="n">
        <f aca="false">INDEX(Prompts!$D$2:$D$200,MATCH($B43,Prompts!$A$2:$A$200,0))</f>
        <v>2</v>
      </c>
      <c r="H43" s="3" t="n">
        <f aca="false">INDEX(Prompts!$E$2:$E$200,MATCH($B43,Prompts!$A$2:$A$200,0))</f>
        <v>3</v>
      </c>
      <c r="I43" s="3" t="n">
        <f aca="false">IF(D43="",0,IF(OR(F43=IF(G43&lt;=Settings!$B$3,"simple",IF(G43&lt;=Settings!$B$4,"coding","critical")),F43=IF(H43&lt;=Settings!$B$3,"simple",IF(H43&lt;=Settings!$B$4,"coding","critical"))),1,0))</f>
        <v>1</v>
      </c>
      <c r="J43" s="3" t="n">
        <f aca="false">IF(D43="",0,IF(AND(D43&gt;=G43,D43&lt;=H43),1,0))</f>
        <v>1</v>
      </c>
      <c r="K43" s="3" t="n">
        <f aca="false">IF(E43=INDEX(Prompts!$F$2:$F$200,MATCH($B43,Prompts!$A$2:$A$200,0)),1,0)</f>
        <v>1</v>
      </c>
      <c r="L43" s="3" t="n">
        <f aca="false">IF(AND(G43&gt;Settings!$B$4,OR(D43="",D43&lt;=Settings!$B$4)),1,0)</f>
        <v>0</v>
      </c>
      <c r="M43" s="3" t="n">
        <v>11.22</v>
      </c>
      <c r="N43" s="3" t="n">
        <v>302</v>
      </c>
      <c r="O43" s="3" t="n">
        <v>297</v>
      </c>
      <c r="P43" s="14" t="n">
        <v>0.0001787</v>
      </c>
      <c r="Q43" s="3" t="s">
        <v>13</v>
      </c>
      <c r="R43" s="3"/>
    </row>
    <row r="44" customFormat="false" ht="15" hidden="false" customHeight="false" outlineLevel="0" collapsed="false">
      <c r="A44" s="3" t="s">
        <v>13</v>
      </c>
      <c r="B44" s="3" t="n">
        <v>11</v>
      </c>
      <c r="C44" s="3" t="s">
        <v>133</v>
      </c>
      <c r="D44" s="3" t="n">
        <v>2</v>
      </c>
      <c r="E44" s="3" t="s">
        <v>69</v>
      </c>
      <c r="F44" s="3" t="str">
        <f aca="false">IF(D44="","none",IF(D44&lt;=Settings!$B$3,"simple",IF(D44&lt;=Settings!$B$4,"coding","critical")))</f>
        <v>simple</v>
      </c>
      <c r="G44" s="3" t="n">
        <f aca="false">INDEX(Prompts!$D$2:$D$200,MATCH($B44,Prompts!$A$2:$A$200,0))</f>
        <v>1</v>
      </c>
      <c r="H44" s="3" t="n">
        <f aca="false">INDEX(Prompts!$E$2:$E$200,MATCH($B44,Prompts!$A$2:$A$200,0))</f>
        <v>3</v>
      </c>
      <c r="I44" s="3" t="n">
        <f aca="false">IF(D44="",0,IF(OR(F44=IF(G44&lt;=Settings!$B$3,"simple",IF(G44&lt;=Settings!$B$4,"coding","critical")),F44=IF(H44&lt;=Settings!$B$3,"simple",IF(H44&lt;=Settings!$B$4,"coding","critical"))),1,0))</f>
        <v>1</v>
      </c>
      <c r="J44" s="3" t="n">
        <f aca="false">IF(D44="",0,IF(AND(D44&gt;=G44,D44&lt;=H44),1,0))</f>
        <v>1</v>
      </c>
      <c r="K44" s="3" t="n">
        <f aca="false">IF(E44=INDEX(Prompts!$F$2:$F$200,MATCH($B44,Prompts!$A$2:$A$200,0)),1,0)</f>
        <v>1</v>
      </c>
      <c r="L44" s="3" t="n">
        <f aca="false">IF(AND(G44&gt;Settings!$B$4,OR(D44="",D44&lt;=Settings!$B$4)),1,0)</f>
        <v>0</v>
      </c>
      <c r="M44" s="3" t="n">
        <v>14.17</v>
      </c>
      <c r="N44" s="3" t="n">
        <v>305</v>
      </c>
      <c r="O44" s="3" t="n">
        <v>367</v>
      </c>
      <c r="P44" s="14" t="n">
        <v>0.000214</v>
      </c>
      <c r="Q44" s="3" t="s">
        <v>13</v>
      </c>
      <c r="R44" s="3"/>
    </row>
    <row r="45" customFormat="false" ht="15" hidden="false" customHeight="false" outlineLevel="0" collapsed="false">
      <c r="A45" s="3" t="s">
        <v>13</v>
      </c>
      <c r="B45" s="3" t="n">
        <v>12</v>
      </c>
      <c r="C45" s="3" t="s">
        <v>134</v>
      </c>
      <c r="D45" s="3" t="n">
        <v>3</v>
      </c>
      <c r="E45" s="3" t="s">
        <v>69</v>
      </c>
      <c r="F45" s="3" t="str">
        <f aca="false">IF(D45="","none",IF(D45&lt;=Settings!$B$3,"simple",IF(D45&lt;=Settings!$B$4,"coding","critical")))</f>
        <v>simple</v>
      </c>
      <c r="G45" s="3" t="n">
        <f aca="false">INDEX(Prompts!$D$2:$D$200,MATCH($B45,Prompts!$A$2:$A$200,0))</f>
        <v>2</v>
      </c>
      <c r="H45" s="3" t="n">
        <f aca="false">INDEX(Prompts!$E$2:$E$200,MATCH($B45,Prompts!$A$2:$A$200,0))</f>
        <v>4</v>
      </c>
      <c r="I45" s="3" t="n">
        <f aca="false">IF(D45="",0,IF(OR(F45=IF(G45&lt;=Settings!$B$3,"simple",IF(G45&lt;=Settings!$B$4,"coding","critical")),F45=IF(H45&lt;=Settings!$B$3,"simple",IF(H45&lt;=Settings!$B$4,"coding","critical"))),1,0))</f>
        <v>1</v>
      </c>
      <c r="J45" s="3" t="n">
        <f aca="false">IF(D45="",0,IF(AND(D45&gt;=G45,D45&lt;=H45),1,0))</f>
        <v>1</v>
      </c>
      <c r="K45" s="3" t="n">
        <f aca="false">IF(E45=INDEX(Prompts!$F$2:$F$200,MATCH($B45,Prompts!$A$2:$A$200,0)),1,0)</f>
        <v>1</v>
      </c>
      <c r="L45" s="3" t="n">
        <f aca="false">IF(AND(G45&gt;Settings!$B$4,OR(D45="",D45&lt;=Settings!$B$4)),1,0)</f>
        <v>0</v>
      </c>
      <c r="M45" s="3" t="n">
        <v>12.46</v>
      </c>
      <c r="N45" s="3" t="n">
        <v>308</v>
      </c>
      <c r="O45" s="3" t="n">
        <v>193</v>
      </c>
      <c r="P45" s="14" t="n">
        <v>0.0001273</v>
      </c>
      <c r="Q45" s="3" t="s">
        <v>13</v>
      </c>
      <c r="R45" s="3"/>
    </row>
    <row r="46" customFormat="false" ht="15" hidden="false" customHeight="false" outlineLevel="0" collapsed="false">
      <c r="A46" s="3" t="s">
        <v>13</v>
      </c>
      <c r="B46" s="3" t="n">
        <v>13</v>
      </c>
      <c r="C46" s="3" t="s">
        <v>132</v>
      </c>
      <c r="D46" s="3" t="n">
        <v>3</v>
      </c>
      <c r="E46" s="3" t="s">
        <v>49</v>
      </c>
      <c r="F46" s="3" t="str">
        <f aca="false">IF(D46="","none",IF(D46&lt;=Settings!$B$3,"simple",IF(D46&lt;=Settings!$B$4,"coding","critical")))</f>
        <v>simple</v>
      </c>
      <c r="G46" s="3" t="n">
        <f aca="false">INDEX(Prompts!$D$2:$D$200,MATCH($B46,Prompts!$A$2:$A$200,0))</f>
        <v>3</v>
      </c>
      <c r="H46" s="3" t="n">
        <f aca="false">INDEX(Prompts!$E$2:$E$200,MATCH($B46,Prompts!$A$2:$A$200,0))</f>
        <v>4</v>
      </c>
      <c r="I46" s="3" t="n">
        <f aca="false">IF(D46="",0,IF(OR(F46=IF(G46&lt;=Settings!$B$3,"simple",IF(G46&lt;=Settings!$B$4,"coding","critical")),F46=IF(H46&lt;=Settings!$B$3,"simple",IF(H46&lt;=Settings!$B$4,"coding","critical"))),1,0))</f>
        <v>1</v>
      </c>
      <c r="J46" s="3" t="n">
        <f aca="false">IF(D46="",0,IF(AND(D46&gt;=G46,D46&lt;=H46),1,0))</f>
        <v>1</v>
      </c>
      <c r="K46" s="3" t="n">
        <f aca="false">IF(E46=INDEX(Prompts!$F$2:$F$200,MATCH($B46,Prompts!$A$2:$A$200,0)),1,0)</f>
        <v>1</v>
      </c>
      <c r="L46" s="3" t="n">
        <f aca="false">IF(AND(G46&gt;Settings!$B$4,OR(D46="",D46&lt;=Settings!$B$4)),1,0)</f>
        <v>0</v>
      </c>
      <c r="M46" s="3" t="n">
        <v>12.85</v>
      </c>
      <c r="N46" s="3" t="n">
        <v>308</v>
      </c>
      <c r="O46" s="3" t="n">
        <v>327</v>
      </c>
      <c r="P46" s="14" t="n">
        <v>0.0001943</v>
      </c>
      <c r="Q46" s="3" t="s">
        <v>13</v>
      </c>
      <c r="R46" s="3"/>
    </row>
    <row r="47" customFormat="false" ht="15" hidden="false" customHeight="false" outlineLevel="0" collapsed="false">
      <c r="A47" s="3" t="s">
        <v>13</v>
      </c>
      <c r="B47" s="3" t="n">
        <v>14</v>
      </c>
      <c r="C47" s="3" t="s">
        <v>153</v>
      </c>
      <c r="D47" s="3" t="n">
        <v>3</v>
      </c>
      <c r="E47" s="3" t="s">
        <v>53</v>
      </c>
      <c r="F47" s="3" t="str">
        <f aca="false">IF(D47="","none",IF(D47&lt;=Settings!$B$3,"simple",IF(D47&lt;=Settings!$B$4,"coding","critical")))</f>
        <v>simple</v>
      </c>
      <c r="G47" s="3" t="n">
        <f aca="false">INDEX(Prompts!$D$2:$D$200,MATCH($B47,Prompts!$A$2:$A$200,0))</f>
        <v>2</v>
      </c>
      <c r="H47" s="3" t="n">
        <f aca="false">INDEX(Prompts!$E$2:$E$200,MATCH($B47,Prompts!$A$2:$A$200,0))</f>
        <v>4</v>
      </c>
      <c r="I47" s="3" t="n">
        <f aca="false">IF(D47="",0,IF(OR(F47=IF(G47&lt;=Settings!$B$3,"simple",IF(G47&lt;=Settings!$B$4,"coding","critical")),F47=IF(H47&lt;=Settings!$B$3,"simple",IF(H47&lt;=Settings!$B$4,"coding","critical"))),1,0))</f>
        <v>1</v>
      </c>
      <c r="J47" s="3" t="n">
        <f aca="false">IF(D47="",0,IF(AND(D47&gt;=G47,D47&lt;=H47),1,0))</f>
        <v>1</v>
      </c>
      <c r="K47" s="3" t="n">
        <f aca="false">IF(E47=INDEX(Prompts!$F$2:$F$200,MATCH($B47,Prompts!$A$2:$A$200,0)),1,0)</f>
        <v>1</v>
      </c>
      <c r="L47" s="3" t="n">
        <f aca="false">IF(AND(G47&gt;Settings!$B$4,OR(D47="",D47&lt;=Settings!$B$4)),1,0)</f>
        <v>0</v>
      </c>
      <c r="M47" s="3" t="n">
        <v>14.23</v>
      </c>
      <c r="N47" s="3" t="n">
        <v>310</v>
      </c>
      <c r="O47" s="3" t="n">
        <v>366</v>
      </c>
      <c r="P47" s="14" t="n">
        <v>0.000214</v>
      </c>
      <c r="Q47" s="3" t="s">
        <v>13</v>
      </c>
      <c r="R47" s="3"/>
    </row>
    <row r="48" customFormat="false" ht="15" hidden="false" customHeight="false" outlineLevel="0" collapsed="false">
      <c r="A48" s="3" t="s">
        <v>13</v>
      </c>
      <c r="B48" s="3" t="n">
        <v>15</v>
      </c>
      <c r="C48" s="3" t="s">
        <v>132</v>
      </c>
      <c r="D48" s="3" t="n">
        <v>3</v>
      </c>
      <c r="E48" s="3" t="s">
        <v>49</v>
      </c>
      <c r="F48" s="3" t="str">
        <f aca="false">IF(D48="","none",IF(D48&lt;=Settings!$B$3,"simple",IF(D48&lt;=Settings!$B$4,"coding","critical")))</f>
        <v>simple</v>
      </c>
      <c r="G48" s="3" t="n">
        <f aca="false">INDEX(Prompts!$D$2:$D$200,MATCH($B48,Prompts!$A$2:$A$200,0))</f>
        <v>3</v>
      </c>
      <c r="H48" s="3" t="n">
        <f aca="false">INDEX(Prompts!$E$2:$E$200,MATCH($B48,Prompts!$A$2:$A$200,0))</f>
        <v>5</v>
      </c>
      <c r="I48" s="3" t="n">
        <f aca="false">IF(D48="",0,IF(OR(F48=IF(G48&lt;=Settings!$B$3,"simple",IF(G48&lt;=Settings!$B$4,"coding","critical")),F48=IF(H48&lt;=Settings!$B$3,"simple",IF(H48&lt;=Settings!$B$4,"coding","critical"))),1,0))</f>
        <v>1</v>
      </c>
      <c r="J48" s="3" t="n">
        <f aca="false">IF(D48="",0,IF(AND(D48&gt;=G48,D48&lt;=H48),1,0))</f>
        <v>1</v>
      </c>
      <c r="K48" s="3" t="n">
        <f aca="false">IF(E48=INDEX(Prompts!$F$2:$F$200,MATCH($B48,Prompts!$A$2:$A$200,0)),1,0)</f>
        <v>1</v>
      </c>
      <c r="L48" s="3" t="n">
        <f aca="false">IF(AND(G48&gt;Settings!$B$4,OR(D48="",D48&lt;=Settings!$B$4)),1,0)</f>
        <v>0</v>
      </c>
      <c r="M48" s="3" t="n">
        <v>13.41</v>
      </c>
      <c r="N48" s="3" t="n">
        <v>316</v>
      </c>
      <c r="O48" s="3" t="n">
        <v>371</v>
      </c>
      <c r="P48" s="14" t="n">
        <v>0.0002171</v>
      </c>
      <c r="Q48" s="3" t="s">
        <v>13</v>
      </c>
      <c r="R48" s="3"/>
    </row>
    <row r="49" customFormat="false" ht="15" hidden="false" customHeight="false" outlineLevel="0" collapsed="false">
      <c r="A49" s="3" t="s">
        <v>13</v>
      </c>
      <c r="B49" s="3" t="n">
        <v>16</v>
      </c>
      <c r="C49" s="3" t="s">
        <v>132</v>
      </c>
      <c r="D49" s="3" t="n">
        <v>3</v>
      </c>
      <c r="E49" s="3" t="s">
        <v>49</v>
      </c>
      <c r="F49" s="3" t="str">
        <f aca="false">IF(D49="","none",IF(D49&lt;=Settings!$B$3,"simple",IF(D49&lt;=Settings!$B$4,"coding","critical")))</f>
        <v>simple</v>
      </c>
      <c r="G49" s="3" t="n">
        <f aca="false">INDEX(Prompts!$D$2:$D$200,MATCH($B49,Prompts!$A$2:$A$200,0))</f>
        <v>3</v>
      </c>
      <c r="H49" s="3" t="n">
        <f aca="false">INDEX(Prompts!$E$2:$E$200,MATCH($B49,Prompts!$A$2:$A$200,0))</f>
        <v>5</v>
      </c>
      <c r="I49" s="3" t="n">
        <f aca="false">IF(D49="",0,IF(OR(F49=IF(G49&lt;=Settings!$B$3,"simple",IF(G49&lt;=Settings!$B$4,"coding","critical")),F49=IF(H49&lt;=Settings!$B$3,"simple",IF(H49&lt;=Settings!$B$4,"coding","critical"))),1,0))</f>
        <v>1</v>
      </c>
      <c r="J49" s="3" t="n">
        <f aca="false">IF(D49="",0,IF(AND(D49&gt;=G49,D49&lt;=H49),1,0))</f>
        <v>1</v>
      </c>
      <c r="K49" s="3" t="n">
        <f aca="false">IF(E49=INDEX(Prompts!$F$2:$F$200,MATCH($B49,Prompts!$A$2:$A$200,0)),1,0)</f>
        <v>1</v>
      </c>
      <c r="L49" s="3" t="n">
        <f aca="false">IF(AND(G49&gt;Settings!$B$4,OR(D49="",D49&lt;=Settings!$B$4)),1,0)</f>
        <v>0</v>
      </c>
      <c r="M49" s="3" t="n">
        <v>13.05</v>
      </c>
      <c r="N49" s="3" t="n">
        <v>315</v>
      </c>
      <c r="O49" s="3" t="n">
        <v>383</v>
      </c>
      <c r="P49" s="14" t="n">
        <v>0.000223</v>
      </c>
      <c r="Q49" s="3" t="s">
        <v>13</v>
      </c>
      <c r="R49" s="3"/>
    </row>
    <row r="50" customFormat="false" ht="15" hidden="false" customHeight="false" outlineLevel="0" collapsed="false">
      <c r="A50" s="3" t="s">
        <v>13</v>
      </c>
      <c r="B50" s="3" t="n">
        <v>17</v>
      </c>
      <c r="C50" s="3" t="s">
        <v>132</v>
      </c>
      <c r="D50" s="3" t="n">
        <v>3</v>
      </c>
      <c r="E50" s="3" t="s">
        <v>49</v>
      </c>
      <c r="F50" s="3" t="str">
        <f aca="false">IF(D50="","none",IF(D50&lt;=Settings!$B$3,"simple",IF(D50&lt;=Settings!$B$4,"coding","critical")))</f>
        <v>simple</v>
      </c>
      <c r="G50" s="3" t="n">
        <f aca="false">INDEX(Prompts!$D$2:$D$200,MATCH($B50,Prompts!$A$2:$A$200,0))</f>
        <v>3</v>
      </c>
      <c r="H50" s="3" t="n">
        <f aca="false">INDEX(Prompts!$E$2:$E$200,MATCH($B50,Prompts!$A$2:$A$200,0))</f>
        <v>5</v>
      </c>
      <c r="I50" s="3" t="n">
        <f aca="false">IF(D50="",0,IF(OR(F50=IF(G50&lt;=Settings!$B$3,"simple",IF(G50&lt;=Settings!$B$4,"coding","critical")),F50=IF(H50&lt;=Settings!$B$3,"simple",IF(H50&lt;=Settings!$B$4,"coding","critical"))),1,0))</f>
        <v>1</v>
      </c>
      <c r="J50" s="3" t="n">
        <f aca="false">IF(D50="",0,IF(AND(D50&gt;=G50,D50&lt;=H50),1,0))</f>
        <v>1</v>
      </c>
      <c r="K50" s="3" t="n">
        <f aca="false">IF(E50=INDEX(Prompts!$F$2:$F$200,MATCH($B50,Prompts!$A$2:$A$200,0)),1,0)</f>
        <v>0</v>
      </c>
      <c r="L50" s="3" t="n">
        <f aca="false">IF(AND(G50&gt;Settings!$B$4,OR(D50="",D50&lt;=Settings!$B$4)),1,0)</f>
        <v>0</v>
      </c>
      <c r="M50" s="3" t="n">
        <v>11.33</v>
      </c>
      <c r="N50" s="3" t="n">
        <v>314</v>
      </c>
      <c r="O50" s="3" t="n">
        <v>410</v>
      </c>
      <c r="P50" s="14" t="n">
        <v>0.0002364</v>
      </c>
      <c r="Q50" s="3" t="s">
        <v>13</v>
      </c>
      <c r="R50" s="3"/>
    </row>
    <row r="51" customFormat="false" ht="15" hidden="false" customHeight="false" outlineLevel="0" collapsed="false">
      <c r="A51" s="3" t="s">
        <v>13</v>
      </c>
      <c r="B51" s="3" t="n">
        <v>18</v>
      </c>
      <c r="C51" s="3" t="s">
        <v>154</v>
      </c>
      <c r="D51" s="3" t="n">
        <v>4</v>
      </c>
      <c r="E51" s="3" t="s">
        <v>49</v>
      </c>
      <c r="F51" s="3" t="str">
        <f aca="false">IF(D51="","none",IF(D51&lt;=Settings!$B$3,"simple",IF(D51&lt;=Settings!$B$4,"coding","critical")))</f>
        <v>coding</v>
      </c>
      <c r="G51" s="3" t="n">
        <f aca="false">INDEX(Prompts!$D$2:$D$200,MATCH($B51,Prompts!$A$2:$A$200,0))</f>
        <v>4</v>
      </c>
      <c r="H51" s="3" t="n">
        <f aca="false">INDEX(Prompts!$E$2:$E$200,MATCH($B51,Prompts!$A$2:$A$200,0))</f>
        <v>6</v>
      </c>
      <c r="I51" s="3" t="n">
        <f aca="false">IF(D51="",0,IF(OR(F51=IF(G51&lt;=Settings!$B$3,"simple",IF(G51&lt;=Settings!$B$4,"coding","critical")),F51=IF(H51&lt;=Settings!$B$3,"simple",IF(H51&lt;=Settings!$B$4,"coding","critical"))),1,0))</f>
        <v>1</v>
      </c>
      <c r="J51" s="3" t="n">
        <f aca="false">IF(D51="",0,IF(AND(D51&gt;=G51,D51&lt;=H51),1,0))</f>
        <v>1</v>
      </c>
      <c r="K51" s="3" t="n">
        <f aca="false">IF(E51=INDEX(Prompts!$F$2:$F$200,MATCH($B51,Prompts!$A$2:$A$200,0)),1,0)</f>
        <v>1</v>
      </c>
      <c r="L51" s="3" t="n">
        <f aca="false">IF(AND(G51&gt;Settings!$B$4,OR(D51="",D51&lt;=Settings!$B$4)),1,0)</f>
        <v>0</v>
      </c>
      <c r="M51" s="3" t="n">
        <v>24.05</v>
      </c>
      <c r="N51" s="3" t="n">
        <v>318</v>
      </c>
      <c r="O51" s="3" t="n">
        <v>253</v>
      </c>
      <c r="P51" s="14" t="n">
        <v>0.0001583</v>
      </c>
      <c r="Q51" s="3" t="s">
        <v>13</v>
      </c>
      <c r="R51" s="3"/>
    </row>
    <row r="52" customFormat="false" ht="15" hidden="false" customHeight="false" outlineLevel="0" collapsed="false">
      <c r="A52" s="3" t="s">
        <v>13</v>
      </c>
      <c r="B52" s="3" t="n">
        <v>19</v>
      </c>
      <c r="C52" s="3" t="s">
        <v>132</v>
      </c>
      <c r="D52" s="3" t="n">
        <v>3</v>
      </c>
      <c r="E52" s="3" t="s">
        <v>49</v>
      </c>
      <c r="F52" s="3" t="str">
        <f aca="false">IF(D52="","none",IF(D52&lt;=Settings!$B$3,"simple",IF(D52&lt;=Settings!$B$4,"coding","critical")))</f>
        <v>simple</v>
      </c>
      <c r="G52" s="3" t="n">
        <f aca="false">INDEX(Prompts!$D$2:$D$200,MATCH($B52,Prompts!$A$2:$A$200,0))</f>
        <v>4</v>
      </c>
      <c r="H52" s="3" t="n">
        <f aca="false">INDEX(Prompts!$E$2:$E$200,MATCH($B52,Prompts!$A$2:$A$200,0))</f>
        <v>6</v>
      </c>
      <c r="I52" s="3" t="n">
        <f aca="false">IF(D52="",0,IF(OR(F52=IF(G52&lt;=Settings!$B$3,"simple",IF(G52&lt;=Settings!$B$4,"coding","critical")),F52=IF(H52&lt;=Settings!$B$3,"simple",IF(H52&lt;=Settings!$B$4,"coding","critical"))),1,0))</f>
        <v>0</v>
      </c>
      <c r="J52" s="3" t="n">
        <f aca="false">IF(D52="",0,IF(AND(D52&gt;=G52,D52&lt;=H52),1,0))</f>
        <v>0</v>
      </c>
      <c r="K52" s="3" t="n">
        <f aca="false">IF(E52=INDEX(Prompts!$F$2:$F$200,MATCH($B52,Prompts!$A$2:$A$200,0)),1,0)</f>
        <v>1</v>
      </c>
      <c r="L52" s="3" t="n">
        <f aca="false">IF(AND(G52&gt;Settings!$B$4,OR(D52="",D52&lt;=Settings!$B$4)),1,0)</f>
        <v>0</v>
      </c>
      <c r="M52" s="3" t="n">
        <v>10.81</v>
      </c>
      <c r="N52" s="3" t="n">
        <v>315</v>
      </c>
      <c r="O52" s="3" t="n">
        <v>312</v>
      </c>
      <c r="P52" s="14" t="n">
        <v>0.0001875</v>
      </c>
      <c r="Q52" s="3" t="s">
        <v>13</v>
      </c>
      <c r="R52" s="3"/>
    </row>
    <row r="53" customFormat="false" ht="15" hidden="false" customHeight="false" outlineLevel="0" collapsed="false">
      <c r="A53" s="3" t="s">
        <v>13</v>
      </c>
      <c r="B53" s="3" t="n">
        <v>20</v>
      </c>
      <c r="C53" s="3" t="s">
        <v>138</v>
      </c>
      <c r="D53" s="3" t="n">
        <v>5</v>
      </c>
      <c r="E53" s="3" t="s">
        <v>49</v>
      </c>
      <c r="F53" s="3" t="str">
        <f aca="false">IF(D53="","none",IF(D53&lt;=Settings!$B$3,"simple",IF(D53&lt;=Settings!$B$4,"coding","critical")))</f>
        <v>coding</v>
      </c>
      <c r="G53" s="3" t="n">
        <f aca="false">INDEX(Prompts!$D$2:$D$200,MATCH($B53,Prompts!$A$2:$A$200,0))</f>
        <v>4</v>
      </c>
      <c r="H53" s="3" t="n">
        <f aca="false">INDEX(Prompts!$E$2:$E$200,MATCH($B53,Prompts!$A$2:$A$200,0))</f>
        <v>6</v>
      </c>
      <c r="I53" s="3" t="n">
        <f aca="false">IF(D53="",0,IF(OR(F53=IF(G53&lt;=Settings!$B$3,"simple",IF(G53&lt;=Settings!$B$4,"coding","critical")),F53=IF(H53&lt;=Settings!$B$3,"simple",IF(H53&lt;=Settings!$B$4,"coding","critical"))),1,0))</f>
        <v>1</v>
      </c>
      <c r="J53" s="3" t="n">
        <f aca="false">IF(D53="",0,IF(AND(D53&gt;=G53,D53&lt;=H53),1,0))</f>
        <v>1</v>
      </c>
      <c r="K53" s="3" t="n">
        <f aca="false">IF(E53=INDEX(Prompts!$F$2:$F$200,MATCH($B53,Prompts!$A$2:$A$200,0)),1,0)</f>
        <v>1</v>
      </c>
      <c r="L53" s="3" t="n">
        <f aca="false">IF(AND(G53&gt;Settings!$B$4,OR(D53="",D53&lt;=Settings!$B$4)),1,0)</f>
        <v>0</v>
      </c>
      <c r="M53" s="3" t="n">
        <v>12.74</v>
      </c>
      <c r="N53" s="3" t="n">
        <v>313</v>
      </c>
      <c r="O53" s="3" t="n">
        <v>445</v>
      </c>
      <c r="P53" s="14" t="n">
        <v>0.0002538</v>
      </c>
      <c r="Q53" s="3" t="s">
        <v>13</v>
      </c>
      <c r="R53" s="3"/>
    </row>
    <row r="54" customFormat="false" ht="15" hidden="false" customHeight="false" outlineLevel="0" collapsed="false">
      <c r="A54" s="3" t="s">
        <v>13</v>
      </c>
      <c r="B54" s="3" t="n">
        <v>21</v>
      </c>
      <c r="C54" s="3" t="s">
        <v>155</v>
      </c>
      <c r="D54" s="3" t="n">
        <v>9</v>
      </c>
      <c r="E54" s="3" t="s">
        <v>56</v>
      </c>
      <c r="F54" s="3" t="str">
        <f aca="false">IF(D54="","none",IF(D54&lt;=Settings!$B$3,"simple",IF(D54&lt;=Settings!$B$4,"coding","critical")))</f>
        <v>critical</v>
      </c>
      <c r="G54" s="3" t="n">
        <f aca="false">INDEX(Prompts!$D$2:$D$200,MATCH($B54,Prompts!$A$2:$A$200,0))</f>
        <v>3</v>
      </c>
      <c r="H54" s="3" t="n">
        <f aca="false">INDEX(Prompts!$E$2:$E$200,MATCH($B54,Prompts!$A$2:$A$200,0))</f>
        <v>5</v>
      </c>
      <c r="I54" s="3" t="n">
        <f aca="false">IF(D54="",0,IF(OR(F54=IF(G54&lt;=Settings!$B$3,"simple",IF(G54&lt;=Settings!$B$4,"coding","critical")),F54=IF(H54&lt;=Settings!$B$3,"simple",IF(H54&lt;=Settings!$B$4,"coding","critical"))),1,0))</f>
        <v>0</v>
      </c>
      <c r="J54" s="3" t="n">
        <f aca="false">IF(D54="",0,IF(AND(D54&gt;=G54,D54&lt;=H54),1,0))</f>
        <v>0</v>
      </c>
      <c r="K54" s="3" t="n">
        <f aca="false">IF(E54=INDEX(Prompts!$F$2:$F$200,MATCH($B54,Prompts!$A$2:$A$200,0)),1,0)</f>
        <v>1</v>
      </c>
      <c r="L54" s="3" t="n">
        <f aca="false">IF(AND(G54&gt;Settings!$B$4,OR(D54="",D54&lt;=Settings!$B$4)),1,0)</f>
        <v>0</v>
      </c>
      <c r="M54" s="3" t="n">
        <v>14.77</v>
      </c>
      <c r="N54" s="3" t="n">
        <v>312</v>
      </c>
      <c r="O54" s="3" t="n">
        <v>447</v>
      </c>
      <c r="P54" s="14" t="n">
        <v>0.0002547</v>
      </c>
      <c r="Q54" s="3" t="s">
        <v>13</v>
      </c>
      <c r="R54" s="3"/>
    </row>
    <row r="55" customFormat="false" ht="15" hidden="false" customHeight="false" outlineLevel="0" collapsed="false">
      <c r="A55" s="3" t="s">
        <v>13</v>
      </c>
      <c r="B55" s="3" t="n">
        <v>22</v>
      </c>
      <c r="C55" s="3" t="s">
        <v>156</v>
      </c>
      <c r="D55" s="3" t="n">
        <v>2</v>
      </c>
      <c r="E55" s="3" t="s">
        <v>58</v>
      </c>
      <c r="F55" s="3" t="str">
        <f aca="false">IF(D55="","none",IF(D55&lt;=Settings!$B$3,"simple",IF(D55&lt;=Settings!$B$4,"coding","critical")))</f>
        <v>simple</v>
      </c>
      <c r="G55" s="3" t="n">
        <f aca="false">INDEX(Prompts!$D$2:$D$200,MATCH($B55,Prompts!$A$2:$A$200,0))</f>
        <v>4</v>
      </c>
      <c r="H55" s="3" t="n">
        <f aca="false">INDEX(Prompts!$E$2:$E$200,MATCH($B55,Prompts!$A$2:$A$200,0))</f>
        <v>6</v>
      </c>
      <c r="I55" s="3" t="n">
        <f aca="false">IF(D55="",0,IF(OR(F55=IF(G55&lt;=Settings!$B$3,"simple",IF(G55&lt;=Settings!$B$4,"coding","critical")),F55=IF(H55&lt;=Settings!$B$3,"simple",IF(H55&lt;=Settings!$B$4,"coding","critical"))),1,0))</f>
        <v>0</v>
      </c>
      <c r="J55" s="3" t="n">
        <f aca="false">IF(D55="",0,IF(AND(D55&gt;=G55,D55&lt;=H55),1,0))</f>
        <v>0</v>
      </c>
      <c r="K55" s="3" t="n">
        <f aca="false">IF(E55=INDEX(Prompts!$F$2:$F$200,MATCH($B55,Prompts!$A$2:$A$200,0)),1,0)</f>
        <v>1</v>
      </c>
      <c r="L55" s="3" t="n">
        <f aca="false">IF(AND(G55&gt;Settings!$B$4,OR(D55="",D55&lt;=Settings!$B$4)),1,0)</f>
        <v>0</v>
      </c>
      <c r="M55" s="3" t="n">
        <v>13.55</v>
      </c>
      <c r="N55" s="3" t="n">
        <v>309</v>
      </c>
      <c r="O55" s="3" t="n">
        <v>304</v>
      </c>
      <c r="P55" s="14" t="n">
        <v>0.0001829</v>
      </c>
      <c r="Q55" s="3" t="s">
        <v>13</v>
      </c>
      <c r="R55" s="3"/>
    </row>
    <row r="56" customFormat="false" ht="15" hidden="false" customHeight="false" outlineLevel="0" collapsed="false">
      <c r="A56" s="3" t="s">
        <v>13</v>
      </c>
      <c r="B56" s="3" t="n">
        <v>23</v>
      </c>
      <c r="C56" s="3" t="s">
        <v>138</v>
      </c>
      <c r="D56" s="3" t="n">
        <v>5</v>
      </c>
      <c r="E56" s="3" t="s">
        <v>49</v>
      </c>
      <c r="F56" s="3" t="str">
        <f aca="false">IF(D56="","none",IF(D56&lt;=Settings!$B$3,"simple",IF(D56&lt;=Settings!$B$4,"coding","critical")))</f>
        <v>coding</v>
      </c>
      <c r="G56" s="3" t="n">
        <f aca="false">INDEX(Prompts!$D$2:$D$200,MATCH($B56,Prompts!$A$2:$A$200,0))</f>
        <v>5</v>
      </c>
      <c r="H56" s="3" t="n">
        <f aca="false">INDEX(Prompts!$E$2:$E$200,MATCH($B56,Prompts!$A$2:$A$200,0))</f>
        <v>6</v>
      </c>
      <c r="I56" s="3" t="n">
        <f aca="false">IF(D56="",0,IF(OR(F56=IF(G56&lt;=Settings!$B$3,"simple",IF(G56&lt;=Settings!$B$4,"coding","critical")),F56=IF(H56&lt;=Settings!$B$3,"simple",IF(H56&lt;=Settings!$B$4,"coding","critical"))),1,0))</f>
        <v>1</v>
      </c>
      <c r="J56" s="3" t="n">
        <f aca="false">IF(D56="",0,IF(AND(D56&gt;=G56,D56&lt;=H56),1,0))</f>
        <v>1</v>
      </c>
      <c r="K56" s="3" t="n">
        <f aca="false">IF(E56=INDEX(Prompts!$F$2:$F$200,MATCH($B56,Prompts!$A$2:$A$200,0)),1,0)</f>
        <v>1</v>
      </c>
      <c r="L56" s="3" t="n">
        <f aca="false">IF(AND(G56&gt;Settings!$B$4,OR(D56="",D56&lt;=Settings!$B$4)),1,0)</f>
        <v>0</v>
      </c>
      <c r="M56" s="3" t="n">
        <v>12.33</v>
      </c>
      <c r="N56" s="3" t="n">
        <v>314</v>
      </c>
      <c r="O56" s="3" t="n">
        <v>261</v>
      </c>
      <c r="P56" s="14" t="n">
        <v>0.0001619</v>
      </c>
      <c r="Q56" s="3" t="s">
        <v>13</v>
      </c>
      <c r="R56" s="3"/>
    </row>
    <row r="57" customFormat="false" ht="15" hidden="false" customHeight="false" outlineLevel="0" collapsed="false">
      <c r="A57" s="3" t="s">
        <v>13</v>
      </c>
      <c r="B57" s="3" t="n">
        <v>24</v>
      </c>
      <c r="C57" s="3" t="s">
        <v>138</v>
      </c>
      <c r="D57" s="3" t="n">
        <v>5</v>
      </c>
      <c r="E57" s="3" t="s">
        <v>49</v>
      </c>
      <c r="F57" s="3" t="str">
        <f aca="false">IF(D57="","none",IF(D57&lt;=Settings!$B$3,"simple",IF(D57&lt;=Settings!$B$4,"coding","critical")))</f>
        <v>coding</v>
      </c>
      <c r="G57" s="3" t="n">
        <f aca="false">INDEX(Prompts!$D$2:$D$200,MATCH($B57,Prompts!$A$2:$A$200,0))</f>
        <v>5</v>
      </c>
      <c r="H57" s="3" t="n">
        <f aca="false">INDEX(Prompts!$E$2:$E$200,MATCH($B57,Prompts!$A$2:$A$200,0))</f>
        <v>7</v>
      </c>
      <c r="I57" s="3" t="n">
        <f aca="false">IF(D57="",0,IF(OR(F57=IF(G57&lt;=Settings!$B$3,"simple",IF(G57&lt;=Settings!$B$4,"coding","critical")),F57=IF(H57&lt;=Settings!$B$3,"simple",IF(H57&lt;=Settings!$B$4,"coding","critical"))),1,0))</f>
        <v>1</v>
      </c>
      <c r="J57" s="3" t="n">
        <f aca="false">IF(D57="",0,IF(AND(D57&gt;=G57,D57&lt;=H57),1,0))</f>
        <v>1</v>
      </c>
      <c r="K57" s="3" t="n">
        <f aca="false">IF(E57=INDEX(Prompts!$F$2:$F$200,MATCH($B57,Prompts!$A$2:$A$200,0)),1,0)</f>
        <v>1</v>
      </c>
      <c r="L57" s="3" t="n">
        <f aca="false">IF(AND(G57&gt;Settings!$B$4,OR(D57="",D57&lt;=Settings!$B$4)),1,0)</f>
        <v>0</v>
      </c>
      <c r="M57" s="3" t="n">
        <v>14.22</v>
      </c>
      <c r="N57" s="3" t="n">
        <v>315</v>
      </c>
      <c r="O57" s="3" t="n">
        <v>404</v>
      </c>
      <c r="P57" s="14" t="n">
        <v>0.0002335</v>
      </c>
      <c r="Q57" s="3" t="s">
        <v>13</v>
      </c>
      <c r="R57" s="3"/>
    </row>
    <row r="58" customFormat="false" ht="15" hidden="false" customHeight="false" outlineLevel="0" collapsed="false">
      <c r="A58" s="3" t="s">
        <v>13</v>
      </c>
      <c r="B58" s="3" t="n">
        <v>25</v>
      </c>
      <c r="C58" s="3" t="s">
        <v>140</v>
      </c>
      <c r="D58" s="3" t="n">
        <v>6</v>
      </c>
      <c r="E58" s="3" t="s">
        <v>49</v>
      </c>
      <c r="F58" s="3" t="str">
        <f aca="false">IF(D58="","none",IF(D58&lt;=Settings!$B$3,"simple",IF(D58&lt;=Settings!$B$4,"coding","critical")))</f>
        <v>coding</v>
      </c>
      <c r="G58" s="3" t="n">
        <f aca="false">INDEX(Prompts!$D$2:$D$200,MATCH($B58,Prompts!$A$2:$A$200,0))</f>
        <v>5</v>
      </c>
      <c r="H58" s="3" t="n">
        <f aca="false">INDEX(Prompts!$E$2:$E$200,MATCH($B58,Prompts!$A$2:$A$200,0))</f>
        <v>7</v>
      </c>
      <c r="I58" s="3" t="n">
        <f aca="false">IF(D58="",0,IF(OR(F58=IF(G58&lt;=Settings!$B$3,"simple",IF(G58&lt;=Settings!$B$4,"coding","critical")),F58=IF(H58&lt;=Settings!$B$3,"simple",IF(H58&lt;=Settings!$B$4,"coding","critical"))),1,0))</f>
        <v>1</v>
      </c>
      <c r="J58" s="3" t="n">
        <f aca="false">IF(D58="",0,IF(AND(D58&gt;=G58,D58&lt;=H58),1,0))</f>
        <v>1</v>
      </c>
      <c r="K58" s="3" t="n">
        <f aca="false">IF(E58=INDEX(Prompts!$F$2:$F$200,MATCH($B58,Prompts!$A$2:$A$200,0)),1,0)</f>
        <v>1</v>
      </c>
      <c r="L58" s="3" t="n">
        <f aca="false">IF(AND(G58&gt;Settings!$B$4,OR(D58="",D58&lt;=Settings!$B$4)),1,0)</f>
        <v>0</v>
      </c>
      <c r="M58" s="3" t="n">
        <v>12.49</v>
      </c>
      <c r="N58" s="3" t="n">
        <v>322</v>
      </c>
      <c r="O58" s="3" t="n">
        <v>459</v>
      </c>
      <c r="P58" s="14" t="n">
        <v>0.0002617</v>
      </c>
      <c r="Q58" s="3" t="s">
        <v>13</v>
      </c>
      <c r="R58" s="3"/>
    </row>
    <row r="59" customFormat="false" ht="15" hidden="false" customHeight="false" outlineLevel="0" collapsed="false">
      <c r="A59" s="3" t="s">
        <v>13</v>
      </c>
      <c r="B59" s="3" t="n">
        <v>26</v>
      </c>
      <c r="C59" s="3" t="s">
        <v>138</v>
      </c>
      <c r="D59" s="3" t="n">
        <v>5</v>
      </c>
      <c r="E59" s="3" t="s">
        <v>49</v>
      </c>
      <c r="F59" s="3" t="str">
        <f aca="false">IF(D59="","none",IF(D59&lt;=Settings!$B$3,"simple",IF(D59&lt;=Settings!$B$4,"coding","critical")))</f>
        <v>coding</v>
      </c>
      <c r="G59" s="3" t="n">
        <f aca="false">INDEX(Prompts!$D$2:$D$200,MATCH($B59,Prompts!$A$2:$A$200,0))</f>
        <v>5</v>
      </c>
      <c r="H59" s="3" t="n">
        <f aca="false">INDEX(Prompts!$E$2:$E$200,MATCH($B59,Prompts!$A$2:$A$200,0))</f>
        <v>6</v>
      </c>
      <c r="I59" s="3" t="n">
        <f aca="false">IF(D59="",0,IF(OR(F59=IF(G59&lt;=Settings!$B$3,"simple",IF(G59&lt;=Settings!$B$4,"coding","critical")),F59=IF(H59&lt;=Settings!$B$3,"simple",IF(H59&lt;=Settings!$B$4,"coding","critical"))),1,0))</f>
        <v>1</v>
      </c>
      <c r="J59" s="3" t="n">
        <f aca="false">IF(D59="",0,IF(AND(D59&gt;=G59,D59&lt;=H59),1,0))</f>
        <v>1</v>
      </c>
      <c r="K59" s="3" t="n">
        <f aca="false">IF(E59=INDEX(Prompts!$F$2:$F$200,MATCH($B59,Prompts!$A$2:$A$200,0)),1,0)</f>
        <v>1</v>
      </c>
      <c r="L59" s="3" t="n">
        <f aca="false">IF(AND(G59&gt;Settings!$B$4,OR(D59="",D59&lt;=Settings!$B$4)),1,0)</f>
        <v>0</v>
      </c>
      <c r="M59" s="3" t="n">
        <v>11.49</v>
      </c>
      <c r="N59" s="3" t="n">
        <v>307</v>
      </c>
      <c r="O59" s="3" t="n">
        <v>316</v>
      </c>
      <c r="P59" s="14" t="n">
        <v>0.0001887</v>
      </c>
      <c r="Q59" s="3" t="s">
        <v>13</v>
      </c>
      <c r="R59" s="3"/>
    </row>
    <row r="60" customFormat="false" ht="15" hidden="false" customHeight="false" outlineLevel="0" collapsed="false">
      <c r="A60" s="3" t="s">
        <v>13</v>
      </c>
      <c r="B60" s="3" t="n">
        <v>27</v>
      </c>
      <c r="C60" s="3" t="s">
        <v>157</v>
      </c>
      <c r="D60" s="3" t="n">
        <v>7</v>
      </c>
      <c r="E60" s="3" t="s">
        <v>49</v>
      </c>
      <c r="F60" s="3" t="str">
        <f aca="false">IF(D60="","none",IF(D60&lt;=Settings!$B$3,"simple",IF(D60&lt;=Settings!$B$4,"coding","critical")))</f>
        <v>coding</v>
      </c>
      <c r="G60" s="3" t="n">
        <f aca="false">INDEX(Prompts!$D$2:$D$200,MATCH($B60,Prompts!$A$2:$A$200,0))</f>
        <v>7</v>
      </c>
      <c r="H60" s="3" t="n">
        <f aca="false">INDEX(Prompts!$E$2:$E$200,MATCH($B60,Prompts!$A$2:$A$200,0))</f>
        <v>9</v>
      </c>
      <c r="I60" s="3" t="n">
        <f aca="false">IF(D60="",0,IF(OR(F60=IF(G60&lt;=Settings!$B$3,"simple",IF(G60&lt;=Settings!$B$4,"coding","critical")),F60=IF(H60&lt;=Settings!$B$3,"simple",IF(H60&lt;=Settings!$B$4,"coding","critical"))),1,0))</f>
        <v>1</v>
      </c>
      <c r="J60" s="3" t="n">
        <f aca="false">IF(D60="",0,IF(AND(D60&gt;=G60,D60&lt;=H60),1,0))</f>
        <v>1</v>
      </c>
      <c r="K60" s="3" t="n">
        <f aca="false">IF(E60=INDEX(Prompts!$F$2:$F$200,MATCH($B60,Prompts!$A$2:$A$200,0)),1,0)</f>
        <v>1</v>
      </c>
      <c r="L60" s="3" t="n">
        <f aca="false">IF(AND(G60&gt;Settings!$B$4,OR(D60="",D60&lt;=Settings!$B$4)),1,0)</f>
        <v>0</v>
      </c>
      <c r="M60" s="3" t="n">
        <v>12.3</v>
      </c>
      <c r="N60" s="3" t="n">
        <v>315</v>
      </c>
      <c r="O60" s="3" t="n">
        <v>372</v>
      </c>
      <c r="P60" s="14" t="n">
        <v>0.0002175</v>
      </c>
      <c r="Q60" s="3" t="s">
        <v>13</v>
      </c>
      <c r="R60" s="3"/>
    </row>
    <row r="61" customFormat="false" ht="15" hidden="false" customHeight="false" outlineLevel="0" collapsed="false">
      <c r="A61" s="3" t="s">
        <v>13</v>
      </c>
      <c r="B61" s="3" t="n">
        <v>28</v>
      </c>
      <c r="C61" s="3" t="s">
        <v>158</v>
      </c>
      <c r="D61" s="3" t="n">
        <v>8</v>
      </c>
      <c r="E61" s="3" t="s">
        <v>53</v>
      </c>
      <c r="F61" s="3" t="str">
        <f aca="false">IF(D61="","none",IF(D61&lt;=Settings!$B$3,"simple",IF(D61&lt;=Settings!$B$4,"coding","critical")))</f>
        <v>critical</v>
      </c>
      <c r="G61" s="3" t="n">
        <f aca="false">INDEX(Prompts!$D$2:$D$200,MATCH($B61,Prompts!$A$2:$A$200,0))</f>
        <v>7</v>
      </c>
      <c r="H61" s="3" t="n">
        <f aca="false">INDEX(Prompts!$E$2:$E$200,MATCH($B61,Prompts!$A$2:$A$200,0))</f>
        <v>9</v>
      </c>
      <c r="I61" s="3" t="n">
        <f aca="false">IF(D61="",0,IF(OR(F61=IF(G61&lt;=Settings!$B$3,"simple",IF(G61&lt;=Settings!$B$4,"coding","critical")),F61=IF(H61&lt;=Settings!$B$3,"simple",IF(H61&lt;=Settings!$B$4,"coding","critical"))),1,0))</f>
        <v>1</v>
      </c>
      <c r="J61" s="3" t="n">
        <f aca="false">IF(D61="",0,IF(AND(D61&gt;=G61,D61&lt;=H61),1,0))</f>
        <v>1</v>
      </c>
      <c r="K61" s="3" t="n">
        <f aca="false">IF(E61=INDEX(Prompts!$F$2:$F$200,MATCH($B61,Prompts!$A$2:$A$200,0)),1,0)</f>
        <v>1</v>
      </c>
      <c r="L61" s="3" t="n">
        <f aca="false">IF(AND(G61&gt;Settings!$B$4,OR(D61="",D61&lt;=Settings!$B$4)),1,0)</f>
        <v>0</v>
      </c>
      <c r="M61" s="3" t="n">
        <v>11.25</v>
      </c>
      <c r="N61" s="3" t="n">
        <v>320</v>
      </c>
      <c r="O61" s="3" t="n">
        <v>302</v>
      </c>
      <c r="P61" s="14" t="n">
        <v>0.000183</v>
      </c>
      <c r="Q61" s="3" t="s">
        <v>13</v>
      </c>
      <c r="R61" s="3"/>
    </row>
    <row r="62" customFormat="false" ht="15" hidden="false" customHeight="false" outlineLevel="0" collapsed="false">
      <c r="A62" s="3" t="s">
        <v>13</v>
      </c>
      <c r="B62" s="3" t="n">
        <v>29</v>
      </c>
      <c r="C62" s="3" t="s">
        <v>148</v>
      </c>
      <c r="D62" s="3" t="n">
        <v>9</v>
      </c>
      <c r="E62" s="3" t="s">
        <v>49</v>
      </c>
      <c r="F62" s="3" t="str">
        <f aca="false">IF(D62="","none",IF(D62&lt;=Settings!$B$3,"simple",IF(D62&lt;=Settings!$B$4,"coding","critical")))</f>
        <v>critical</v>
      </c>
      <c r="G62" s="3" t="n">
        <f aca="false">INDEX(Prompts!$D$2:$D$200,MATCH($B62,Prompts!$A$2:$A$200,0))</f>
        <v>8</v>
      </c>
      <c r="H62" s="3" t="n">
        <f aca="false">INDEX(Prompts!$E$2:$E$200,MATCH($B62,Prompts!$A$2:$A$200,0))</f>
        <v>10</v>
      </c>
      <c r="I62" s="3" t="n">
        <f aca="false">IF(D62="",0,IF(OR(F62=IF(G62&lt;=Settings!$B$3,"simple",IF(G62&lt;=Settings!$B$4,"coding","critical")),F62=IF(H62&lt;=Settings!$B$3,"simple",IF(H62&lt;=Settings!$B$4,"coding","critical"))),1,0))</f>
        <v>1</v>
      </c>
      <c r="J62" s="3" t="n">
        <f aca="false">IF(D62="",0,IF(AND(D62&gt;=G62,D62&lt;=H62),1,0))</f>
        <v>1</v>
      </c>
      <c r="K62" s="3" t="n">
        <f aca="false">IF(E62=INDEX(Prompts!$F$2:$F$200,MATCH($B62,Prompts!$A$2:$A$200,0)),1,0)</f>
        <v>1</v>
      </c>
      <c r="L62" s="3" t="n">
        <f aca="false">IF(AND(G62&gt;Settings!$B$4,OR(D62="",D62&lt;=Settings!$B$4)),1,0)</f>
        <v>0</v>
      </c>
      <c r="M62" s="3" t="n">
        <v>13.71</v>
      </c>
      <c r="N62" s="3" t="n">
        <v>318</v>
      </c>
      <c r="O62" s="3" t="n">
        <v>384</v>
      </c>
      <c r="P62" s="14" t="n">
        <v>0.0002238</v>
      </c>
      <c r="Q62" s="3" t="s">
        <v>13</v>
      </c>
      <c r="R62" s="3"/>
    </row>
    <row r="63" customFormat="false" ht="15" hidden="false" customHeight="false" outlineLevel="0" collapsed="false">
      <c r="A63" s="3" t="s">
        <v>13</v>
      </c>
      <c r="B63" s="3" t="n">
        <v>30</v>
      </c>
      <c r="C63" s="3" t="s">
        <v>149</v>
      </c>
      <c r="D63" s="3" t="n">
        <v>9</v>
      </c>
      <c r="E63" s="3" t="s">
        <v>69</v>
      </c>
      <c r="F63" s="3" t="str">
        <f aca="false">IF(D63="","none",IF(D63&lt;=Settings!$B$3,"simple",IF(D63&lt;=Settings!$B$4,"coding","critical")))</f>
        <v>critical</v>
      </c>
      <c r="G63" s="3" t="n">
        <f aca="false">INDEX(Prompts!$D$2:$D$200,MATCH($B63,Prompts!$A$2:$A$200,0))</f>
        <v>9</v>
      </c>
      <c r="H63" s="3" t="n">
        <f aca="false">INDEX(Prompts!$E$2:$E$200,MATCH($B63,Prompts!$A$2:$A$200,0))</f>
        <v>10</v>
      </c>
      <c r="I63" s="3" t="n">
        <f aca="false">IF(D63="",0,IF(OR(F63=IF(G63&lt;=Settings!$B$3,"simple",IF(G63&lt;=Settings!$B$4,"coding","critical")),F63=IF(H63&lt;=Settings!$B$3,"simple",IF(H63&lt;=Settings!$B$4,"coding","critical"))),1,0))</f>
        <v>1</v>
      </c>
      <c r="J63" s="3" t="n">
        <f aca="false">IF(D63="",0,IF(AND(D63&gt;=G63,D63&lt;=H63),1,0))</f>
        <v>1</v>
      </c>
      <c r="K63" s="3" t="n">
        <f aca="false">IF(E63=INDEX(Prompts!$F$2:$F$200,MATCH($B63,Prompts!$A$2:$A$200,0)),1,0)</f>
        <v>0</v>
      </c>
      <c r="L63" s="3" t="n">
        <f aca="false">IF(AND(G63&gt;Settings!$B$4,OR(D63="",D63&lt;=Settings!$B$4)),1,0)</f>
        <v>0</v>
      </c>
      <c r="M63" s="3" t="n">
        <v>15.38</v>
      </c>
      <c r="N63" s="3" t="n">
        <v>320</v>
      </c>
      <c r="O63" s="3" t="n">
        <v>421</v>
      </c>
      <c r="P63" s="14" t="n">
        <v>0.0002425</v>
      </c>
      <c r="Q63" s="3" t="s">
        <v>13</v>
      </c>
      <c r="R63" s="3"/>
    </row>
    <row r="64" customFormat="false" ht="15" hidden="false" customHeight="false" outlineLevel="0" collapsed="false">
      <c r="A64" s="3" t="s">
        <v>13</v>
      </c>
      <c r="B64" s="3" t="n">
        <v>31</v>
      </c>
      <c r="C64" s="3" t="s">
        <v>148</v>
      </c>
      <c r="D64" s="3" t="n">
        <v>9</v>
      </c>
      <c r="E64" s="3" t="s">
        <v>49</v>
      </c>
      <c r="F64" s="3" t="str">
        <f aca="false">IF(D64="","none",IF(D64&lt;=Settings!$B$3,"simple",IF(D64&lt;=Settings!$B$4,"coding","critical")))</f>
        <v>critical</v>
      </c>
      <c r="G64" s="3" t="n">
        <f aca="false">INDEX(Prompts!$D$2:$D$200,MATCH($B64,Prompts!$A$2:$A$200,0))</f>
        <v>9</v>
      </c>
      <c r="H64" s="3" t="n">
        <f aca="false">INDEX(Prompts!$E$2:$E$200,MATCH($B64,Prompts!$A$2:$A$200,0))</f>
        <v>10</v>
      </c>
      <c r="I64" s="3" t="n">
        <f aca="false">IF(D64="",0,IF(OR(F64=IF(G64&lt;=Settings!$B$3,"simple",IF(G64&lt;=Settings!$B$4,"coding","critical")),F64=IF(H64&lt;=Settings!$B$3,"simple",IF(H64&lt;=Settings!$B$4,"coding","critical"))),1,0))</f>
        <v>1</v>
      </c>
      <c r="J64" s="3" t="n">
        <f aca="false">IF(D64="",0,IF(AND(D64&gt;=G64,D64&lt;=H64),1,0))</f>
        <v>1</v>
      </c>
      <c r="K64" s="3" t="n">
        <f aca="false">IF(E64=INDEX(Prompts!$F$2:$F$200,MATCH($B64,Prompts!$A$2:$A$200,0)),1,0)</f>
        <v>0</v>
      </c>
      <c r="L64" s="3" t="n">
        <f aca="false">IF(AND(G64&gt;Settings!$B$4,OR(D64="",D64&lt;=Settings!$B$4)),1,0)</f>
        <v>0</v>
      </c>
      <c r="M64" s="3" t="n">
        <v>12.91</v>
      </c>
      <c r="N64" s="3" t="n">
        <v>316</v>
      </c>
      <c r="O64" s="3" t="n">
        <v>414</v>
      </c>
      <c r="P64" s="14" t="n">
        <v>0.0002386</v>
      </c>
      <c r="Q64" s="3" t="s">
        <v>13</v>
      </c>
      <c r="R64" s="3"/>
    </row>
    <row r="65" customFormat="false" ht="15" hidden="false" customHeight="false" outlineLevel="0" collapsed="false">
      <c r="A65" s="3" t="s">
        <v>13</v>
      </c>
      <c r="B65" s="3" t="n">
        <v>32</v>
      </c>
      <c r="C65" s="3" t="s">
        <v>159</v>
      </c>
      <c r="D65" s="3" t="n">
        <v>10</v>
      </c>
      <c r="E65" s="3" t="s">
        <v>49</v>
      </c>
      <c r="F65" s="3" t="str">
        <f aca="false">IF(D65="","none",IF(D65&lt;=Settings!$B$3,"simple",IF(D65&lt;=Settings!$B$4,"coding","critical")))</f>
        <v>critical</v>
      </c>
      <c r="G65" s="3" t="n">
        <f aca="false">INDEX(Prompts!$D$2:$D$200,MATCH($B65,Prompts!$A$2:$A$200,0))</f>
        <v>9</v>
      </c>
      <c r="H65" s="3" t="n">
        <f aca="false">INDEX(Prompts!$E$2:$E$200,MATCH($B65,Prompts!$A$2:$A$200,0))</f>
        <v>10</v>
      </c>
      <c r="I65" s="3" t="n">
        <f aca="false">IF(D65="",0,IF(OR(F65=IF(G65&lt;=Settings!$B$3,"simple",IF(G65&lt;=Settings!$B$4,"coding","critical")),F65=IF(H65&lt;=Settings!$B$3,"simple",IF(H65&lt;=Settings!$B$4,"coding","critical"))),1,0))</f>
        <v>1</v>
      </c>
      <c r="J65" s="3" t="n">
        <f aca="false">IF(D65="",0,IF(AND(D65&gt;=G65,D65&lt;=H65),1,0))</f>
        <v>1</v>
      </c>
      <c r="K65" s="3" t="n">
        <f aca="false">IF(E65=INDEX(Prompts!$F$2:$F$200,MATCH($B65,Prompts!$A$2:$A$200,0)),1,0)</f>
        <v>1</v>
      </c>
      <c r="L65" s="3" t="n">
        <f aca="false">IF(AND(G65&gt;Settings!$B$4,OR(D65="",D65&lt;=Settings!$B$4)),1,0)</f>
        <v>0</v>
      </c>
      <c r="M65" s="3" t="n">
        <v>13.11</v>
      </c>
      <c r="N65" s="3" t="n">
        <v>328</v>
      </c>
      <c r="O65" s="3" t="n">
        <v>473</v>
      </c>
      <c r="P65" s="14" t="n">
        <v>0.0002693</v>
      </c>
      <c r="Q65" s="3" t="s">
        <v>13</v>
      </c>
      <c r="R65" s="3"/>
    </row>
    <row r="66" customFormat="false" ht="15" hidden="false" customHeight="false" outlineLevel="0" collapsed="false">
      <c r="A66" s="3" t="s">
        <v>14</v>
      </c>
      <c r="B66" s="3" t="n">
        <v>1</v>
      </c>
      <c r="C66" s="3" t="s">
        <v>132</v>
      </c>
      <c r="D66" s="3" t="n">
        <v>3</v>
      </c>
      <c r="E66" s="3" t="s">
        <v>49</v>
      </c>
      <c r="F66" s="3" t="str">
        <f aca="false">IF(D66="","none",IF(D66&lt;=Settings!$B$3,"simple",IF(D66&lt;=Settings!$B$4,"coding","critical")))</f>
        <v>simple</v>
      </c>
      <c r="G66" s="3" t="n">
        <f aca="false">INDEX(Prompts!$D$2:$D$200,MATCH($B66,Prompts!$A$2:$A$200,0))</f>
        <v>1</v>
      </c>
      <c r="H66" s="3" t="n">
        <f aca="false">INDEX(Prompts!$E$2:$E$200,MATCH($B66,Prompts!$A$2:$A$200,0))</f>
        <v>2</v>
      </c>
      <c r="I66" s="3" t="n">
        <f aca="false">IF(D66="",0,IF(OR(F66=IF(G66&lt;=Settings!$B$3,"simple",IF(G66&lt;=Settings!$B$4,"coding","critical")),F66=IF(H66&lt;=Settings!$B$3,"simple",IF(H66&lt;=Settings!$B$4,"coding","critical"))),1,0))</f>
        <v>1</v>
      </c>
      <c r="J66" s="3" t="n">
        <f aca="false">IF(D66="",0,IF(AND(D66&gt;=G66,D66&lt;=H66),1,0))</f>
        <v>0</v>
      </c>
      <c r="K66" s="3" t="n">
        <f aca="false">IF(E66=INDEX(Prompts!$F$2:$F$200,MATCH($B66,Prompts!$A$2:$A$200,0)),1,0)</f>
        <v>1</v>
      </c>
      <c r="L66" s="3" t="n">
        <f aca="false">IF(AND(G66&gt;Settings!$B$4,OR(D66="",D66&lt;=Settings!$B$4)),1,0)</f>
        <v>0</v>
      </c>
      <c r="M66" s="3" t="n">
        <v>12.86</v>
      </c>
      <c r="N66" s="3" t="n">
        <v>307</v>
      </c>
      <c r="O66" s="3" t="n">
        <v>5</v>
      </c>
      <c r="P66" s="14" t="n">
        <v>0.000664</v>
      </c>
      <c r="Q66" s="3" t="s">
        <v>14</v>
      </c>
      <c r="R66" s="3"/>
    </row>
    <row r="67" customFormat="false" ht="15" hidden="false" customHeight="false" outlineLevel="0" collapsed="false">
      <c r="A67" s="3" t="s">
        <v>14</v>
      </c>
      <c r="B67" s="3" t="n">
        <v>2</v>
      </c>
      <c r="C67" s="3" t="s">
        <v>131</v>
      </c>
      <c r="D67" s="3" t="n">
        <v>1</v>
      </c>
      <c r="E67" s="3" t="s">
        <v>49</v>
      </c>
      <c r="F67" s="3" t="str">
        <f aca="false">IF(D67="","none",IF(D67&lt;=Settings!$B$3,"simple",IF(D67&lt;=Settings!$B$4,"coding","critical")))</f>
        <v>simple</v>
      </c>
      <c r="G67" s="3" t="n">
        <f aca="false">INDEX(Prompts!$D$2:$D$200,MATCH($B67,Prompts!$A$2:$A$200,0))</f>
        <v>1</v>
      </c>
      <c r="H67" s="3" t="n">
        <f aca="false">INDEX(Prompts!$E$2:$E$200,MATCH($B67,Prompts!$A$2:$A$200,0))</f>
        <v>2</v>
      </c>
      <c r="I67" s="3" t="n">
        <f aca="false">IF(D67="",0,IF(OR(F67=IF(G67&lt;=Settings!$B$3,"simple",IF(G67&lt;=Settings!$B$4,"coding","critical")),F67=IF(H67&lt;=Settings!$B$3,"simple",IF(H67&lt;=Settings!$B$4,"coding","critical"))),1,0))</f>
        <v>1</v>
      </c>
      <c r="J67" s="3" t="n">
        <f aca="false">IF(D67="",0,IF(AND(D67&gt;=G67,D67&lt;=H67),1,0))</f>
        <v>1</v>
      </c>
      <c r="K67" s="3" t="n">
        <f aca="false">IF(E67=INDEX(Prompts!$F$2:$F$200,MATCH($B67,Prompts!$A$2:$A$200,0)),1,0)</f>
        <v>1</v>
      </c>
      <c r="L67" s="3" t="n">
        <f aca="false">IF(AND(G67&gt;Settings!$B$4,OR(D67="",D67&lt;=Settings!$B$4)),1,0)</f>
        <v>0</v>
      </c>
      <c r="M67" s="3" t="n">
        <v>11.28</v>
      </c>
      <c r="N67" s="3" t="n">
        <v>312</v>
      </c>
      <c r="O67" s="3" t="n">
        <v>5</v>
      </c>
      <c r="P67" s="14" t="n">
        <v>0.000674</v>
      </c>
      <c r="Q67" s="3" t="s">
        <v>14</v>
      </c>
      <c r="R67" s="3"/>
    </row>
    <row r="68" customFormat="false" ht="15" hidden="false" customHeight="false" outlineLevel="0" collapsed="false">
      <c r="A68" s="3" t="s">
        <v>14</v>
      </c>
      <c r="B68" s="3" t="n">
        <v>3</v>
      </c>
      <c r="C68" s="3" t="s">
        <v>128</v>
      </c>
      <c r="D68" s="3" t="n">
        <v>1</v>
      </c>
      <c r="E68" s="3" t="s">
        <v>56</v>
      </c>
      <c r="F68" s="3" t="str">
        <f aca="false">IF(D68="","none",IF(D68&lt;=Settings!$B$3,"simple",IF(D68&lt;=Settings!$B$4,"coding","critical")))</f>
        <v>simple</v>
      </c>
      <c r="G68" s="3" t="n">
        <f aca="false">INDEX(Prompts!$D$2:$D$200,MATCH($B68,Prompts!$A$2:$A$200,0))</f>
        <v>1</v>
      </c>
      <c r="H68" s="3" t="n">
        <f aca="false">INDEX(Prompts!$E$2:$E$200,MATCH($B68,Prompts!$A$2:$A$200,0))</f>
        <v>2</v>
      </c>
      <c r="I68" s="3" t="n">
        <f aca="false">IF(D68="",0,IF(OR(F68=IF(G68&lt;=Settings!$B$3,"simple",IF(G68&lt;=Settings!$B$4,"coding","critical")),F68=IF(H68&lt;=Settings!$B$3,"simple",IF(H68&lt;=Settings!$B$4,"coding","critical"))),1,0))</f>
        <v>1</v>
      </c>
      <c r="J68" s="3" t="n">
        <f aca="false">IF(D68="",0,IF(AND(D68&gt;=G68,D68&lt;=H68),1,0))</f>
        <v>1</v>
      </c>
      <c r="K68" s="3" t="n">
        <f aca="false">IF(E68=INDEX(Prompts!$F$2:$F$200,MATCH($B68,Prompts!$A$2:$A$200,0)),1,0)</f>
        <v>0</v>
      </c>
      <c r="L68" s="3" t="n">
        <f aca="false">IF(AND(G68&gt;Settings!$B$4,OR(D68="",D68&lt;=Settings!$B$4)),1,0)</f>
        <v>0</v>
      </c>
      <c r="M68" s="3" t="n">
        <v>13.11</v>
      </c>
      <c r="N68" s="3" t="n">
        <v>310</v>
      </c>
      <c r="O68" s="3" t="n">
        <v>5</v>
      </c>
      <c r="P68" s="14" t="n">
        <v>0.00067</v>
      </c>
      <c r="Q68" s="3" t="s">
        <v>14</v>
      </c>
      <c r="R68" s="3"/>
    </row>
    <row r="69" customFormat="false" ht="15" hidden="false" customHeight="false" outlineLevel="0" collapsed="false">
      <c r="A69" s="3" t="s">
        <v>14</v>
      </c>
      <c r="B69" s="3" t="n">
        <v>4</v>
      </c>
      <c r="C69" s="3" t="s">
        <v>128</v>
      </c>
      <c r="D69" s="3" t="n">
        <v>1</v>
      </c>
      <c r="E69" s="3" t="s">
        <v>56</v>
      </c>
      <c r="F69" s="3" t="str">
        <f aca="false">IF(D69="","none",IF(D69&lt;=Settings!$B$3,"simple",IF(D69&lt;=Settings!$B$4,"coding","critical")))</f>
        <v>simple</v>
      </c>
      <c r="G69" s="3" t="n">
        <f aca="false">INDEX(Prompts!$D$2:$D$200,MATCH($B69,Prompts!$A$2:$A$200,0))</f>
        <v>1</v>
      </c>
      <c r="H69" s="3" t="n">
        <f aca="false">INDEX(Prompts!$E$2:$E$200,MATCH($B69,Prompts!$A$2:$A$200,0))</f>
        <v>2</v>
      </c>
      <c r="I69" s="3" t="n">
        <f aca="false">IF(D69="",0,IF(OR(F69=IF(G69&lt;=Settings!$B$3,"simple",IF(G69&lt;=Settings!$B$4,"coding","critical")),F69=IF(H69&lt;=Settings!$B$3,"simple",IF(H69&lt;=Settings!$B$4,"coding","critical"))),1,0))</f>
        <v>1</v>
      </c>
      <c r="J69" s="3" t="n">
        <f aca="false">IF(D69="",0,IF(AND(D69&gt;=G69,D69&lt;=H69),1,0))</f>
        <v>1</v>
      </c>
      <c r="K69" s="3" t="n">
        <f aca="false">IF(E69=INDEX(Prompts!$F$2:$F$200,MATCH($B69,Prompts!$A$2:$A$200,0)),1,0)</f>
        <v>1</v>
      </c>
      <c r="L69" s="3" t="n">
        <f aca="false">IF(AND(G69&gt;Settings!$B$4,OR(D69="",D69&lt;=Settings!$B$4)),1,0)</f>
        <v>0</v>
      </c>
      <c r="M69" s="3" t="n">
        <v>16.08</v>
      </c>
      <c r="N69" s="3" t="n">
        <v>302</v>
      </c>
      <c r="O69" s="3" t="n">
        <v>5</v>
      </c>
      <c r="P69" s="14" t="n">
        <v>0.000654</v>
      </c>
      <c r="Q69" s="3" t="s">
        <v>14</v>
      </c>
      <c r="R69" s="3"/>
    </row>
    <row r="70" customFormat="false" ht="15" hidden="false" customHeight="false" outlineLevel="0" collapsed="false">
      <c r="A70" s="3" t="s">
        <v>14</v>
      </c>
      <c r="B70" s="3" t="n">
        <v>5</v>
      </c>
      <c r="C70" s="3" t="s">
        <v>152</v>
      </c>
      <c r="D70" s="3" t="n">
        <v>1</v>
      </c>
      <c r="E70" s="3" t="s">
        <v>58</v>
      </c>
      <c r="F70" s="3" t="str">
        <f aca="false">IF(D70="","none",IF(D70&lt;=Settings!$B$3,"simple",IF(D70&lt;=Settings!$B$4,"coding","critical")))</f>
        <v>simple</v>
      </c>
      <c r="G70" s="3" t="n">
        <f aca="false">INDEX(Prompts!$D$2:$D$200,MATCH($B70,Prompts!$A$2:$A$200,0))</f>
        <v>1</v>
      </c>
      <c r="H70" s="3" t="n">
        <f aca="false">INDEX(Prompts!$E$2:$E$200,MATCH($B70,Prompts!$A$2:$A$200,0))</f>
        <v>2</v>
      </c>
      <c r="I70" s="3" t="n">
        <f aca="false">IF(D70="",0,IF(OR(F70=IF(G70&lt;=Settings!$B$3,"simple",IF(G70&lt;=Settings!$B$4,"coding","critical")),F70=IF(H70&lt;=Settings!$B$3,"simple",IF(H70&lt;=Settings!$B$4,"coding","critical"))),1,0))</f>
        <v>1</v>
      </c>
      <c r="J70" s="3" t="n">
        <f aca="false">IF(D70="",0,IF(AND(D70&gt;=G70,D70&lt;=H70),1,0))</f>
        <v>1</v>
      </c>
      <c r="K70" s="3" t="n">
        <f aca="false">IF(E70=INDEX(Prompts!$F$2:$F$200,MATCH($B70,Prompts!$A$2:$A$200,0)),1,0)</f>
        <v>1</v>
      </c>
      <c r="L70" s="3" t="n">
        <f aca="false">IF(AND(G70&gt;Settings!$B$4,OR(D70="",D70&lt;=Settings!$B$4)),1,0)</f>
        <v>0</v>
      </c>
      <c r="M70" s="3" t="n">
        <v>10.05</v>
      </c>
      <c r="N70" s="3" t="n">
        <v>305</v>
      </c>
      <c r="O70" s="3" t="n">
        <v>5</v>
      </c>
      <c r="P70" s="14" t="n">
        <v>0.00066</v>
      </c>
      <c r="Q70" s="3" t="s">
        <v>14</v>
      </c>
      <c r="R70" s="3"/>
    </row>
    <row r="71" customFormat="false" ht="15" hidden="false" customHeight="false" outlineLevel="0" collapsed="false">
      <c r="A71" s="3" t="s">
        <v>14</v>
      </c>
      <c r="B71" s="3" t="n">
        <v>6</v>
      </c>
      <c r="C71" s="3" t="s">
        <v>131</v>
      </c>
      <c r="D71" s="3" t="n">
        <v>1</v>
      </c>
      <c r="E71" s="3" t="s">
        <v>49</v>
      </c>
      <c r="F71" s="3" t="str">
        <f aca="false">IF(D71="","none",IF(D71&lt;=Settings!$B$3,"simple",IF(D71&lt;=Settings!$B$4,"coding","critical")))</f>
        <v>simple</v>
      </c>
      <c r="G71" s="3" t="n">
        <f aca="false">INDEX(Prompts!$D$2:$D$200,MATCH($B71,Prompts!$A$2:$A$200,0))</f>
        <v>1</v>
      </c>
      <c r="H71" s="3" t="n">
        <f aca="false">INDEX(Prompts!$E$2:$E$200,MATCH($B71,Prompts!$A$2:$A$200,0))</f>
        <v>2</v>
      </c>
      <c r="I71" s="3" t="n">
        <f aca="false">IF(D71="",0,IF(OR(F71=IF(G71&lt;=Settings!$B$3,"simple",IF(G71&lt;=Settings!$B$4,"coding","critical")),F71=IF(H71&lt;=Settings!$B$3,"simple",IF(H71&lt;=Settings!$B$4,"coding","critical"))),1,0))</f>
        <v>1</v>
      </c>
      <c r="J71" s="3" t="n">
        <f aca="false">IF(D71="",0,IF(AND(D71&gt;=G71,D71&lt;=H71),1,0))</f>
        <v>1</v>
      </c>
      <c r="K71" s="3" t="n">
        <f aca="false">IF(E71=INDEX(Prompts!$F$2:$F$200,MATCH($B71,Prompts!$A$2:$A$200,0)),1,0)</f>
        <v>1</v>
      </c>
      <c r="L71" s="3" t="n">
        <f aca="false">IF(AND(G71&gt;Settings!$B$4,OR(D71="",D71&lt;=Settings!$B$4)),1,0)</f>
        <v>0</v>
      </c>
      <c r="M71" s="3" t="n">
        <v>19.15</v>
      </c>
      <c r="N71" s="3" t="n">
        <v>304</v>
      </c>
      <c r="O71" s="3" t="n">
        <v>5</v>
      </c>
      <c r="P71" s="14" t="n">
        <v>0.000658</v>
      </c>
      <c r="Q71" s="3" t="s">
        <v>14</v>
      </c>
      <c r="R71" s="3"/>
    </row>
    <row r="72" customFormat="false" ht="15" hidden="false" customHeight="false" outlineLevel="0" collapsed="false">
      <c r="A72" s="3" t="s">
        <v>14</v>
      </c>
      <c r="B72" s="3" t="n">
        <v>7</v>
      </c>
      <c r="C72" s="3" t="s">
        <v>160</v>
      </c>
      <c r="D72" s="3" t="n">
        <v>2</v>
      </c>
      <c r="E72" s="3" t="s">
        <v>49</v>
      </c>
      <c r="F72" s="3" t="str">
        <f aca="false">IF(D72="","none",IF(D72&lt;=Settings!$B$3,"simple",IF(D72&lt;=Settings!$B$4,"coding","critical")))</f>
        <v>simple</v>
      </c>
      <c r="G72" s="3" t="n">
        <f aca="false">INDEX(Prompts!$D$2:$D$200,MATCH($B72,Prompts!$A$2:$A$200,0))</f>
        <v>1</v>
      </c>
      <c r="H72" s="3" t="n">
        <f aca="false">INDEX(Prompts!$E$2:$E$200,MATCH($B72,Prompts!$A$2:$A$200,0))</f>
        <v>3</v>
      </c>
      <c r="I72" s="3" t="n">
        <f aca="false">IF(D72="",0,IF(OR(F72=IF(G72&lt;=Settings!$B$3,"simple",IF(G72&lt;=Settings!$B$4,"coding","critical")),F72=IF(H72&lt;=Settings!$B$3,"simple",IF(H72&lt;=Settings!$B$4,"coding","critical"))),1,0))</f>
        <v>1</v>
      </c>
      <c r="J72" s="3" t="n">
        <f aca="false">IF(D72="",0,IF(AND(D72&gt;=G72,D72&lt;=H72),1,0))</f>
        <v>1</v>
      </c>
      <c r="K72" s="3" t="n">
        <f aca="false">IF(E72=INDEX(Prompts!$F$2:$F$200,MATCH($B72,Prompts!$A$2:$A$200,0)),1,0)</f>
        <v>1</v>
      </c>
      <c r="L72" s="3" t="n">
        <f aca="false">IF(AND(G72&gt;Settings!$B$4,OR(D72="",D72&lt;=Settings!$B$4)),1,0)</f>
        <v>0</v>
      </c>
      <c r="M72" s="3" t="n">
        <v>14.71</v>
      </c>
      <c r="N72" s="3" t="n">
        <v>306</v>
      </c>
      <c r="O72" s="3" t="n">
        <v>5</v>
      </c>
      <c r="P72" s="14" t="n">
        <v>0.000662</v>
      </c>
      <c r="Q72" s="3" t="s">
        <v>14</v>
      </c>
      <c r="R72" s="3"/>
    </row>
    <row r="73" customFormat="false" ht="15" hidden="false" customHeight="false" outlineLevel="0" collapsed="false">
      <c r="A73" s="3" t="s">
        <v>14</v>
      </c>
      <c r="B73" s="3" t="n">
        <v>8</v>
      </c>
      <c r="C73" s="3" t="s">
        <v>132</v>
      </c>
      <c r="D73" s="3" t="n">
        <v>3</v>
      </c>
      <c r="E73" s="3" t="s">
        <v>49</v>
      </c>
      <c r="F73" s="3" t="str">
        <f aca="false">IF(D73="","none",IF(D73&lt;=Settings!$B$3,"simple",IF(D73&lt;=Settings!$B$4,"coding","critical")))</f>
        <v>simple</v>
      </c>
      <c r="G73" s="3" t="n">
        <f aca="false">INDEX(Prompts!$D$2:$D$200,MATCH($B73,Prompts!$A$2:$A$200,0))</f>
        <v>2</v>
      </c>
      <c r="H73" s="3" t="n">
        <f aca="false">INDEX(Prompts!$E$2:$E$200,MATCH($B73,Prompts!$A$2:$A$200,0))</f>
        <v>3</v>
      </c>
      <c r="I73" s="3" t="n">
        <f aca="false">IF(D73="",0,IF(OR(F73=IF(G73&lt;=Settings!$B$3,"simple",IF(G73&lt;=Settings!$B$4,"coding","critical")),F73=IF(H73&lt;=Settings!$B$3,"simple",IF(H73&lt;=Settings!$B$4,"coding","critical"))),1,0))</f>
        <v>1</v>
      </c>
      <c r="J73" s="3" t="n">
        <f aca="false">IF(D73="",0,IF(AND(D73&gt;=G73,D73&lt;=H73),1,0))</f>
        <v>1</v>
      </c>
      <c r="K73" s="3" t="n">
        <f aca="false">IF(E73=INDEX(Prompts!$F$2:$F$200,MATCH($B73,Prompts!$A$2:$A$200,0)),1,0)</f>
        <v>1</v>
      </c>
      <c r="L73" s="3" t="n">
        <f aca="false">IF(AND(G73&gt;Settings!$B$4,OR(D73="",D73&lt;=Settings!$B$4)),1,0)</f>
        <v>0</v>
      </c>
      <c r="M73" s="3" t="n">
        <v>12.29</v>
      </c>
      <c r="N73" s="3" t="n">
        <v>309</v>
      </c>
      <c r="O73" s="3" t="n">
        <v>5</v>
      </c>
      <c r="P73" s="14" t="n">
        <v>0.000668</v>
      </c>
      <c r="Q73" s="3" t="s">
        <v>14</v>
      </c>
      <c r="R73" s="3"/>
    </row>
    <row r="74" customFormat="false" ht="15" hidden="false" customHeight="false" outlineLevel="0" collapsed="false">
      <c r="A74" s="3" t="s">
        <v>14</v>
      </c>
      <c r="B74" s="3" t="n">
        <v>9</v>
      </c>
      <c r="C74" s="3" t="s">
        <v>132</v>
      </c>
      <c r="D74" s="3" t="n">
        <v>3</v>
      </c>
      <c r="E74" s="3" t="s">
        <v>49</v>
      </c>
      <c r="F74" s="3" t="str">
        <f aca="false">IF(D74="","none",IF(D74&lt;=Settings!$B$3,"simple",IF(D74&lt;=Settings!$B$4,"coding","critical")))</f>
        <v>simple</v>
      </c>
      <c r="G74" s="3" t="n">
        <f aca="false">INDEX(Prompts!$D$2:$D$200,MATCH($B74,Prompts!$A$2:$A$200,0))</f>
        <v>2</v>
      </c>
      <c r="H74" s="3" t="n">
        <f aca="false">INDEX(Prompts!$E$2:$E$200,MATCH($B74,Prompts!$A$2:$A$200,0))</f>
        <v>3</v>
      </c>
      <c r="I74" s="3" t="n">
        <f aca="false">IF(D74="",0,IF(OR(F74=IF(G74&lt;=Settings!$B$3,"simple",IF(G74&lt;=Settings!$B$4,"coding","critical")),F74=IF(H74&lt;=Settings!$B$3,"simple",IF(H74&lt;=Settings!$B$4,"coding","critical"))),1,0))</f>
        <v>1</v>
      </c>
      <c r="J74" s="3" t="n">
        <f aca="false">IF(D74="",0,IF(AND(D74&gt;=G74,D74&lt;=H74),1,0))</f>
        <v>1</v>
      </c>
      <c r="K74" s="3" t="n">
        <f aca="false">IF(E74=INDEX(Prompts!$F$2:$F$200,MATCH($B74,Prompts!$A$2:$A$200,0)),1,0)</f>
        <v>1</v>
      </c>
      <c r="L74" s="3" t="n">
        <f aca="false">IF(AND(G74&gt;Settings!$B$4,OR(D74="",D74&lt;=Settings!$B$4)),1,0)</f>
        <v>0</v>
      </c>
      <c r="M74" s="3" t="n">
        <v>12.62</v>
      </c>
      <c r="N74" s="3" t="n">
        <v>305</v>
      </c>
      <c r="O74" s="3" t="n">
        <v>5</v>
      </c>
      <c r="P74" s="14" t="n">
        <v>0.00066</v>
      </c>
      <c r="Q74" s="3" t="s">
        <v>14</v>
      </c>
      <c r="R74" s="3"/>
    </row>
    <row r="75" customFormat="false" ht="15" hidden="false" customHeight="false" outlineLevel="0" collapsed="false">
      <c r="A75" s="3" t="s">
        <v>14</v>
      </c>
      <c r="B75" s="3" t="n">
        <v>10</v>
      </c>
      <c r="C75" s="3" t="s">
        <v>132</v>
      </c>
      <c r="D75" s="3" t="n">
        <v>3</v>
      </c>
      <c r="E75" s="3" t="s">
        <v>49</v>
      </c>
      <c r="F75" s="3" t="str">
        <f aca="false">IF(D75="","none",IF(D75&lt;=Settings!$B$3,"simple",IF(D75&lt;=Settings!$B$4,"coding","critical")))</f>
        <v>simple</v>
      </c>
      <c r="G75" s="3" t="n">
        <f aca="false">INDEX(Prompts!$D$2:$D$200,MATCH($B75,Prompts!$A$2:$A$200,0))</f>
        <v>2</v>
      </c>
      <c r="H75" s="3" t="n">
        <f aca="false">INDEX(Prompts!$E$2:$E$200,MATCH($B75,Prompts!$A$2:$A$200,0))</f>
        <v>3</v>
      </c>
      <c r="I75" s="3" t="n">
        <f aca="false">IF(D75="",0,IF(OR(F75=IF(G75&lt;=Settings!$B$3,"simple",IF(G75&lt;=Settings!$B$4,"coding","critical")),F75=IF(H75&lt;=Settings!$B$3,"simple",IF(H75&lt;=Settings!$B$4,"coding","critical"))),1,0))</f>
        <v>1</v>
      </c>
      <c r="J75" s="3" t="n">
        <f aca="false">IF(D75="",0,IF(AND(D75&gt;=G75,D75&lt;=H75),1,0))</f>
        <v>1</v>
      </c>
      <c r="K75" s="3" t="n">
        <f aca="false">IF(E75=INDEX(Prompts!$F$2:$F$200,MATCH($B75,Prompts!$A$2:$A$200,0)),1,0)</f>
        <v>1</v>
      </c>
      <c r="L75" s="3" t="n">
        <f aca="false">IF(AND(G75&gt;Settings!$B$4,OR(D75="",D75&lt;=Settings!$B$4)),1,0)</f>
        <v>0</v>
      </c>
      <c r="M75" s="3" t="n">
        <v>23.52</v>
      </c>
      <c r="N75" s="3" t="n">
        <v>302</v>
      </c>
      <c r="O75" s="3" t="n">
        <v>5</v>
      </c>
      <c r="P75" s="14" t="n">
        <v>0.000654</v>
      </c>
      <c r="Q75" s="3" t="s">
        <v>14</v>
      </c>
      <c r="R75" s="3"/>
    </row>
    <row r="76" customFormat="false" ht="15" hidden="false" customHeight="false" outlineLevel="0" collapsed="false">
      <c r="A76" s="3" t="s">
        <v>14</v>
      </c>
      <c r="B76" s="3" t="n">
        <v>11</v>
      </c>
      <c r="C76" s="3" t="s">
        <v>133</v>
      </c>
      <c r="D76" s="3" t="n">
        <v>2</v>
      </c>
      <c r="E76" s="3" t="s">
        <v>69</v>
      </c>
      <c r="F76" s="3" t="str">
        <f aca="false">IF(D76="","none",IF(D76&lt;=Settings!$B$3,"simple",IF(D76&lt;=Settings!$B$4,"coding","critical")))</f>
        <v>simple</v>
      </c>
      <c r="G76" s="3" t="n">
        <f aca="false">INDEX(Prompts!$D$2:$D$200,MATCH($B76,Prompts!$A$2:$A$200,0))</f>
        <v>1</v>
      </c>
      <c r="H76" s="3" t="n">
        <f aca="false">INDEX(Prompts!$E$2:$E$200,MATCH($B76,Prompts!$A$2:$A$200,0))</f>
        <v>3</v>
      </c>
      <c r="I76" s="3" t="n">
        <f aca="false">IF(D76="",0,IF(OR(F76=IF(G76&lt;=Settings!$B$3,"simple",IF(G76&lt;=Settings!$B$4,"coding","critical")),F76=IF(H76&lt;=Settings!$B$3,"simple",IF(H76&lt;=Settings!$B$4,"coding","critical"))),1,0))</f>
        <v>1</v>
      </c>
      <c r="J76" s="3" t="n">
        <f aca="false">IF(D76="",0,IF(AND(D76&gt;=G76,D76&lt;=H76),1,0))</f>
        <v>1</v>
      </c>
      <c r="K76" s="3" t="n">
        <f aca="false">IF(E76=INDEX(Prompts!$F$2:$F$200,MATCH($B76,Prompts!$A$2:$A$200,0)),1,0)</f>
        <v>1</v>
      </c>
      <c r="L76" s="3" t="n">
        <f aca="false">IF(AND(G76&gt;Settings!$B$4,OR(D76="",D76&lt;=Settings!$B$4)),1,0)</f>
        <v>0</v>
      </c>
      <c r="M76" s="3" t="n">
        <v>11.49</v>
      </c>
      <c r="N76" s="3" t="n">
        <v>305</v>
      </c>
      <c r="O76" s="3" t="n">
        <v>6</v>
      </c>
      <c r="P76" s="14" t="n">
        <v>0.00067</v>
      </c>
      <c r="Q76" s="3" t="s">
        <v>14</v>
      </c>
      <c r="R76" s="3"/>
    </row>
    <row r="77" customFormat="false" ht="15" hidden="false" customHeight="false" outlineLevel="0" collapsed="false">
      <c r="A77" s="3" t="s">
        <v>14</v>
      </c>
      <c r="B77" s="3" t="n">
        <v>12</v>
      </c>
      <c r="C77" s="3" t="s">
        <v>134</v>
      </c>
      <c r="D77" s="3" t="n">
        <v>3</v>
      </c>
      <c r="E77" s="3" t="s">
        <v>69</v>
      </c>
      <c r="F77" s="3" t="str">
        <f aca="false">IF(D77="","none",IF(D77&lt;=Settings!$B$3,"simple",IF(D77&lt;=Settings!$B$4,"coding","critical")))</f>
        <v>simple</v>
      </c>
      <c r="G77" s="3" t="n">
        <f aca="false">INDEX(Prompts!$D$2:$D$200,MATCH($B77,Prompts!$A$2:$A$200,0))</f>
        <v>2</v>
      </c>
      <c r="H77" s="3" t="n">
        <f aca="false">INDEX(Prompts!$E$2:$E$200,MATCH($B77,Prompts!$A$2:$A$200,0))</f>
        <v>4</v>
      </c>
      <c r="I77" s="3" t="n">
        <f aca="false">IF(D77="",0,IF(OR(F77=IF(G77&lt;=Settings!$B$3,"simple",IF(G77&lt;=Settings!$B$4,"coding","critical")),F77=IF(H77&lt;=Settings!$B$3,"simple",IF(H77&lt;=Settings!$B$4,"coding","critical"))),1,0))</f>
        <v>1</v>
      </c>
      <c r="J77" s="3" t="n">
        <f aca="false">IF(D77="",0,IF(AND(D77&gt;=G77,D77&lt;=H77),1,0))</f>
        <v>1</v>
      </c>
      <c r="K77" s="3" t="n">
        <f aca="false">IF(E77=INDEX(Prompts!$F$2:$F$200,MATCH($B77,Prompts!$A$2:$A$200,0)),1,0)</f>
        <v>1</v>
      </c>
      <c r="L77" s="3" t="n">
        <f aca="false">IF(AND(G77&gt;Settings!$B$4,OR(D77="",D77&lt;=Settings!$B$4)),1,0)</f>
        <v>0</v>
      </c>
      <c r="M77" s="3" t="n">
        <v>14.23</v>
      </c>
      <c r="N77" s="3" t="n">
        <v>308</v>
      </c>
      <c r="O77" s="3" t="n">
        <v>6</v>
      </c>
      <c r="P77" s="14" t="n">
        <v>0.000676</v>
      </c>
      <c r="Q77" s="3" t="s">
        <v>14</v>
      </c>
      <c r="R77" s="3"/>
    </row>
    <row r="78" customFormat="false" ht="15" hidden="false" customHeight="false" outlineLevel="0" collapsed="false">
      <c r="A78" s="3" t="s">
        <v>14</v>
      </c>
      <c r="B78" s="3" t="n">
        <v>13</v>
      </c>
      <c r="C78" s="3" t="s">
        <v>132</v>
      </c>
      <c r="D78" s="3" t="n">
        <v>3</v>
      </c>
      <c r="E78" s="3" t="s">
        <v>49</v>
      </c>
      <c r="F78" s="3" t="str">
        <f aca="false">IF(D78="","none",IF(D78&lt;=Settings!$B$3,"simple",IF(D78&lt;=Settings!$B$4,"coding","critical")))</f>
        <v>simple</v>
      </c>
      <c r="G78" s="3" t="n">
        <f aca="false">INDEX(Prompts!$D$2:$D$200,MATCH($B78,Prompts!$A$2:$A$200,0))</f>
        <v>3</v>
      </c>
      <c r="H78" s="3" t="n">
        <f aca="false">INDEX(Prompts!$E$2:$E$200,MATCH($B78,Prompts!$A$2:$A$200,0))</f>
        <v>4</v>
      </c>
      <c r="I78" s="3" t="n">
        <f aca="false">IF(D78="",0,IF(OR(F78=IF(G78&lt;=Settings!$B$3,"simple",IF(G78&lt;=Settings!$B$4,"coding","critical")),F78=IF(H78&lt;=Settings!$B$3,"simple",IF(H78&lt;=Settings!$B$4,"coding","critical"))),1,0))</f>
        <v>1</v>
      </c>
      <c r="J78" s="3" t="n">
        <f aca="false">IF(D78="",0,IF(AND(D78&gt;=G78,D78&lt;=H78),1,0))</f>
        <v>1</v>
      </c>
      <c r="K78" s="3" t="n">
        <f aca="false">IF(E78=INDEX(Prompts!$F$2:$F$200,MATCH($B78,Prompts!$A$2:$A$200,0)),1,0)</f>
        <v>1</v>
      </c>
      <c r="L78" s="3" t="n">
        <f aca="false">IF(AND(G78&gt;Settings!$B$4,OR(D78="",D78&lt;=Settings!$B$4)),1,0)</f>
        <v>0</v>
      </c>
      <c r="M78" s="3" t="n">
        <v>12.47</v>
      </c>
      <c r="N78" s="3" t="n">
        <v>308</v>
      </c>
      <c r="O78" s="3" t="n">
        <v>5</v>
      </c>
      <c r="P78" s="14" t="n">
        <v>0.000666</v>
      </c>
      <c r="Q78" s="3" t="s">
        <v>14</v>
      </c>
      <c r="R78" s="3"/>
    </row>
    <row r="79" customFormat="false" ht="15" hidden="false" customHeight="false" outlineLevel="0" collapsed="false">
      <c r="A79" s="3" t="s">
        <v>14</v>
      </c>
      <c r="B79" s="3" t="n">
        <v>14</v>
      </c>
      <c r="C79" s="3" t="s">
        <v>130</v>
      </c>
      <c r="D79" s="3" t="n">
        <v>2</v>
      </c>
      <c r="E79" s="3" t="s">
        <v>53</v>
      </c>
      <c r="F79" s="3" t="str">
        <f aca="false">IF(D79="","none",IF(D79&lt;=Settings!$B$3,"simple",IF(D79&lt;=Settings!$B$4,"coding","critical")))</f>
        <v>simple</v>
      </c>
      <c r="G79" s="3" t="n">
        <f aca="false">INDEX(Prompts!$D$2:$D$200,MATCH($B79,Prompts!$A$2:$A$200,0))</f>
        <v>2</v>
      </c>
      <c r="H79" s="3" t="n">
        <f aca="false">INDEX(Prompts!$E$2:$E$200,MATCH($B79,Prompts!$A$2:$A$200,0))</f>
        <v>4</v>
      </c>
      <c r="I79" s="3" t="n">
        <f aca="false">IF(D79="",0,IF(OR(F79=IF(G79&lt;=Settings!$B$3,"simple",IF(G79&lt;=Settings!$B$4,"coding","critical")),F79=IF(H79&lt;=Settings!$B$3,"simple",IF(H79&lt;=Settings!$B$4,"coding","critical"))),1,0))</f>
        <v>1</v>
      </c>
      <c r="J79" s="3" t="n">
        <f aca="false">IF(D79="",0,IF(AND(D79&gt;=G79,D79&lt;=H79),1,0))</f>
        <v>1</v>
      </c>
      <c r="K79" s="3" t="n">
        <f aca="false">IF(E79=INDEX(Prompts!$F$2:$F$200,MATCH($B79,Prompts!$A$2:$A$200,0)),1,0)</f>
        <v>1</v>
      </c>
      <c r="L79" s="3" t="n">
        <f aca="false">IF(AND(G79&gt;Settings!$B$4,OR(D79="",D79&lt;=Settings!$B$4)),1,0)</f>
        <v>0</v>
      </c>
      <c r="M79" s="3" t="n">
        <v>10.51</v>
      </c>
      <c r="N79" s="3" t="n">
        <v>310</v>
      </c>
      <c r="O79" s="3" t="n">
        <v>5</v>
      </c>
      <c r="P79" s="14" t="n">
        <v>0.00067</v>
      </c>
      <c r="Q79" s="3" t="s">
        <v>14</v>
      </c>
      <c r="R79" s="3"/>
    </row>
    <row r="80" customFormat="false" ht="15" hidden="false" customHeight="false" outlineLevel="0" collapsed="false">
      <c r="A80" s="3" t="s">
        <v>14</v>
      </c>
      <c r="B80" s="3" t="n">
        <v>15</v>
      </c>
      <c r="C80" s="3" t="s">
        <v>132</v>
      </c>
      <c r="D80" s="3" t="n">
        <v>3</v>
      </c>
      <c r="E80" s="3" t="s">
        <v>49</v>
      </c>
      <c r="F80" s="3" t="str">
        <f aca="false">IF(D80="","none",IF(D80&lt;=Settings!$B$3,"simple",IF(D80&lt;=Settings!$B$4,"coding","critical")))</f>
        <v>simple</v>
      </c>
      <c r="G80" s="3" t="n">
        <f aca="false">INDEX(Prompts!$D$2:$D$200,MATCH($B80,Prompts!$A$2:$A$200,0))</f>
        <v>3</v>
      </c>
      <c r="H80" s="3" t="n">
        <f aca="false">INDEX(Prompts!$E$2:$E$200,MATCH($B80,Prompts!$A$2:$A$200,0))</f>
        <v>5</v>
      </c>
      <c r="I80" s="3" t="n">
        <f aca="false">IF(D80="",0,IF(OR(F80=IF(G80&lt;=Settings!$B$3,"simple",IF(G80&lt;=Settings!$B$4,"coding","critical")),F80=IF(H80&lt;=Settings!$B$3,"simple",IF(H80&lt;=Settings!$B$4,"coding","critical"))),1,0))</f>
        <v>1</v>
      </c>
      <c r="J80" s="3" t="n">
        <f aca="false">IF(D80="",0,IF(AND(D80&gt;=G80,D80&lt;=H80),1,0))</f>
        <v>1</v>
      </c>
      <c r="K80" s="3" t="n">
        <f aca="false">IF(E80=INDEX(Prompts!$F$2:$F$200,MATCH($B80,Prompts!$A$2:$A$200,0)),1,0)</f>
        <v>1</v>
      </c>
      <c r="L80" s="3" t="n">
        <f aca="false">IF(AND(G80&gt;Settings!$B$4,OR(D80="",D80&lt;=Settings!$B$4)),1,0)</f>
        <v>0</v>
      </c>
      <c r="M80" s="3" t="n">
        <v>15.01</v>
      </c>
      <c r="N80" s="3" t="n">
        <v>316</v>
      </c>
      <c r="O80" s="3" t="n">
        <v>5</v>
      </c>
      <c r="P80" s="14" t="n">
        <v>0.000682</v>
      </c>
      <c r="Q80" s="3" t="s">
        <v>14</v>
      </c>
      <c r="R80" s="3"/>
    </row>
    <row r="81" customFormat="false" ht="15" hidden="false" customHeight="false" outlineLevel="0" collapsed="false">
      <c r="A81" s="3" t="s">
        <v>14</v>
      </c>
      <c r="B81" s="3" t="n">
        <v>16</v>
      </c>
      <c r="C81" s="3" t="s">
        <v>132</v>
      </c>
      <c r="D81" s="3" t="n">
        <v>3</v>
      </c>
      <c r="E81" s="3" t="s">
        <v>49</v>
      </c>
      <c r="F81" s="3" t="str">
        <f aca="false">IF(D81="","none",IF(D81&lt;=Settings!$B$3,"simple",IF(D81&lt;=Settings!$B$4,"coding","critical")))</f>
        <v>simple</v>
      </c>
      <c r="G81" s="3" t="n">
        <f aca="false">INDEX(Prompts!$D$2:$D$200,MATCH($B81,Prompts!$A$2:$A$200,0))</f>
        <v>3</v>
      </c>
      <c r="H81" s="3" t="n">
        <f aca="false">INDEX(Prompts!$E$2:$E$200,MATCH($B81,Prompts!$A$2:$A$200,0))</f>
        <v>5</v>
      </c>
      <c r="I81" s="3" t="n">
        <f aca="false">IF(D81="",0,IF(OR(F81=IF(G81&lt;=Settings!$B$3,"simple",IF(G81&lt;=Settings!$B$4,"coding","critical")),F81=IF(H81&lt;=Settings!$B$3,"simple",IF(H81&lt;=Settings!$B$4,"coding","critical"))),1,0))</f>
        <v>1</v>
      </c>
      <c r="J81" s="3" t="n">
        <f aca="false">IF(D81="",0,IF(AND(D81&gt;=G81,D81&lt;=H81),1,0))</f>
        <v>1</v>
      </c>
      <c r="K81" s="3" t="n">
        <f aca="false">IF(E81=INDEX(Prompts!$F$2:$F$200,MATCH($B81,Prompts!$A$2:$A$200,0)),1,0)</f>
        <v>1</v>
      </c>
      <c r="L81" s="3" t="n">
        <f aca="false">IF(AND(G81&gt;Settings!$B$4,OR(D81="",D81&lt;=Settings!$B$4)),1,0)</f>
        <v>0</v>
      </c>
      <c r="M81" s="3" t="n">
        <v>10.81</v>
      </c>
      <c r="N81" s="3" t="n">
        <v>315</v>
      </c>
      <c r="O81" s="3" t="n">
        <v>5</v>
      </c>
      <c r="P81" s="14" t="n">
        <v>0.00068</v>
      </c>
      <c r="Q81" s="3" t="s">
        <v>14</v>
      </c>
      <c r="R81" s="3"/>
    </row>
    <row r="82" customFormat="false" ht="15" hidden="false" customHeight="false" outlineLevel="0" collapsed="false">
      <c r="A82" s="3" t="s">
        <v>14</v>
      </c>
      <c r="B82" s="3" t="n">
        <v>17</v>
      </c>
      <c r="C82" s="3" t="s">
        <v>132</v>
      </c>
      <c r="D82" s="3" t="n">
        <v>3</v>
      </c>
      <c r="E82" s="3" t="s">
        <v>49</v>
      </c>
      <c r="F82" s="3" t="str">
        <f aca="false">IF(D82="","none",IF(D82&lt;=Settings!$B$3,"simple",IF(D82&lt;=Settings!$B$4,"coding","critical")))</f>
        <v>simple</v>
      </c>
      <c r="G82" s="3" t="n">
        <f aca="false">INDEX(Prompts!$D$2:$D$200,MATCH($B82,Prompts!$A$2:$A$200,0))</f>
        <v>3</v>
      </c>
      <c r="H82" s="3" t="n">
        <f aca="false">INDEX(Prompts!$E$2:$E$200,MATCH($B82,Prompts!$A$2:$A$200,0))</f>
        <v>5</v>
      </c>
      <c r="I82" s="3" t="n">
        <f aca="false">IF(D82="",0,IF(OR(F82=IF(G82&lt;=Settings!$B$3,"simple",IF(G82&lt;=Settings!$B$4,"coding","critical")),F82=IF(H82&lt;=Settings!$B$3,"simple",IF(H82&lt;=Settings!$B$4,"coding","critical"))),1,0))</f>
        <v>1</v>
      </c>
      <c r="J82" s="3" t="n">
        <f aca="false">IF(D82="",0,IF(AND(D82&gt;=G82,D82&lt;=H82),1,0))</f>
        <v>1</v>
      </c>
      <c r="K82" s="3" t="n">
        <f aca="false">IF(E82=INDEX(Prompts!$F$2:$F$200,MATCH($B82,Prompts!$A$2:$A$200,0)),1,0)</f>
        <v>0</v>
      </c>
      <c r="L82" s="3" t="n">
        <f aca="false">IF(AND(G82&gt;Settings!$B$4,OR(D82="",D82&lt;=Settings!$B$4)),1,0)</f>
        <v>0</v>
      </c>
      <c r="M82" s="3" t="n">
        <v>9.75</v>
      </c>
      <c r="N82" s="3" t="n">
        <v>314</v>
      </c>
      <c r="O82" s="3" t="n">
        <v>5</v>
      </c>
      <c r="P82" s="14" t="n">
        <v>0.000678</v>
      </c>
      <c r="Q82" s="3" t="s">
        <v>14</v>
      </c>
      <c r="R82" s="3"/>
    </row>
    <row r="83" customFormat="false" ht="15" hidden="false" customHeight="false" outlineLevel="0" collapsed="false">
      <c r="A83" s="3" t="s">
        <v>14</v>
      </c>
      <c r="B83" s="3" t="n">
        <v>18</v>
      </c>
      <c r="C83" s="3" t="s">
        <v>154</v>
      </c>
      <c r="D83" s="3" t="n">
        <v>4</v>
      </c>
      <c r="E83" s="3" t="s">
        <v>49</v>
      </c>
      <c r="F83" s="3" t="str">
        <f aca="false">IF(D83="","none",IF(D83&lt;=Settings!$B$3,"simple",IF(D83&lt;=Settings!$B$4,"coding","critical")))</f>
        <v>coding</v>
      </c>
      <c r="G83" s="3" t="n">
        <f aca="false">INDEX(Prompts!$D$2:$D$200,MATCH($B83,Prompts!$A$2:$A$200,0))</f>
        <v>4</v>
      </c>
      <c r="H83" s="3" t="n">
        <f aca="false">INDEX(Prompts!$E$2:$E$200,MATCH($B83,Prompts!$A$2:$A$200,0))</f>
        <v>6</v>
      </c>
      <c r="I83" s="3" t="n">
        <f aca="false">IF(D83="",0,IF(OR(F83=IF(G83&lt;=Settings!$B$3,"simple",IF(G83&lt;=Settings!$B$4,"coding","critical")),F83=IF(H83&lt;=Settings!$B$3,"simple",IF(H83&lt;=Settings!$B$4,"coding","critical"))),1,0))</f>
        <v>1</v>
      </c>
      <c r="J83" s="3" t="n">
        <f aca="false">IF(D83="",0,IF(AND(D83&gt;=G83,D83&lt;=H83),1,0))</f>
        <v>1</v>
      </c>
      <c r="K83" s="3" t="n">
        <f aca="false">IF(E83=INDEX(Prompts!$F$2:$F$200,MATCH($B83,Prompts!$A$2:$A$200,0)),1,0)</f>
        <v>1</v>
      </c>
      <c r="L83" s="3" t="n">
        <f aca="false">IF(AND(G83&gt;Settings!$B$4,OR(D83="",D83&lt;=Settings!$B$4)),1,0)</f>
        <v>0</v>
      </c>
      <c r="M83" s="3" t="n">
        <v>16.87</v>
      </c>
      <c r="N83" s="3" t="n">
        <v>318</v>
      </c>
      <c r="O83" s="3" t="n">
        <v>5</v>
      </c>
      <c r="P83" s="14" t="n">
        <v>0.000686</v>
      </c>
      <c r="Q83" s="3" t="s">
        <v>14</v>
      </c>
      <c r="R83" s="3"/>
    </row>
    <row r="84" customFormat="false" ht="15" hidden="false" customHeight="false" outlineLevel="0" collapsed="false">
      <c r="A84" s="3" t="s">
        <v>14</v>
      </c>
      <c r="B84" s="3" t="n">
        <v>19</v>
      </c>
      <c r="C84" s="3" t="s">
        <v>132</v>
      </c>
      <c r="D84" s="3" t="n">
        <v>3</v>
      </c>
      <c r="E84" s="3" t="s">
        <v>49</v>
      </c>
      <c r="F84" s="3" t="str">
        <f aca="false">IF(D84="","none",IF(D84&lt;=Settings!$B$3,"simple",IF(D84&lt;=Settings!$B$4,"coding","critical")))</f>
        <v>simple</v>
      </c>
      <c r="G84" s="3" t="n">
        <f aca="false">INDEX(Prompts!$D$2:$D$200,MATCH($B84,Prompts!$A$2:$A$200,0))</f>
        <v>4</v>
      </c>
      <c r="H84" s="3" t="n">
        <f aca="false">INDEX(Prompts!$E$2:$E$200,MATCH($B84,Prompts!$A$2:$A$200,0))</f>
        <v>6</v>
      </c>
      <c r="I84" s="3" t="n">
        <f aca="false">IF(D84="",0,IF(OR(F84=IF(G84&lt;=Settings!$B$3,"simple",IF(G84&lt;=Settings!$B$4,"coding","critical")),F84=IF(H84&lt;=Settings!$B$3,"simple",IF(H84&lt;=Settings!$B$4,"coding","critical"))),1,0))</f>
        <v>0</v>
      </c>
      <c r="J84" s="3" t="n">
        <f aca="false">IF(D84="",0,IF(AND(D84&gt;=G84,D84&lt;=H84),1,0))</f>
        <v>0</v>
      </c>
      <c r="K84" s="3" t="n">
        <f aca="false">IF(E84=INDEX(Prompts!$F$2:$F$200,MATCH($B84,Prompts!$A$2:$A$200,0)),1,0)</f>
        <v>1</v>
      </c>
      <c r="L84" s="3" t="n">
        <f aca="false">IF(AND(G84&gt;Settings!$B$4,OR(D84="",D84&lt;=Settings!$B$4)),1,0)</f>
        <v>0</v>
      </c>
      <c r="M84" s="3" t="n">
        <v>10.7</v>
      </c>
      <c r="N84" s="3" t="n">
        <v>315</v>
      </c>
      <c r="O84" s="3" t="n">
        <v>5</v>
      </c>
      <c r="P84" s="14" t="n">
        <v>0.00068</v>
      </c>
      <c r="Q84" s="3" t="s">
        <v>14</v>
      </c>
      <c r="R84" s="3"/>
    </row>
    <row r="85" customFormat="false" ht="15" hidden="false" customHeight="false" outlineLevel="0" collapsed="false">
      <c r="A85" s="3" t="s">
        <v>14</v>
      </c>
      <c r="B85" s="3" t="n">
        <v>20</v>
      </c>
      <c r="C85" s="3" t="s">
        <v>138</v>
      </c>
      <c r="D85" s="3" t="n">
        <v>5</v>
      </c>
      <c r="E85" s="3" t="s">
        <v>49</v>
      </c>
      <c r="F85" s="3" t="str">
        <f aca="false">IF(D85="","none",IF(D85&lt;=Settings!$B$3,"simple",IF(D85&lt;=Settings!$B$4,"coding","critical")))</f>
        <v>coding</v>
      </c>
      <c r="G85" s="3" t="n">
        <f aca="false">INDEX(Prompts!$D$2:$D$200,MATCH($B85,Prompts!$A$2:$A$200,0))</f>
        <v>4</v>
      </c>
      <c r="H85" s="3" t="n">
        <f aca="false">INDEX(Prompts!$E$2:$E$200,MATCH($B85,Prompts!$A$2:$A$200,0))</f>
        <v>6</v>
      </c>
      <c r="I85" s="3" t="n">
        <f aca="false">IF(D85="",0,IF(OR(F85=IF(G85&lt;=Settings!$B$3,"simple",IF(G85&lt;=Settings!$B$4,"coding","critical")),F85=IF(H85&lt;=Settings!$B$3,"simple",IF(H85&lt;=Settings!$B$4,"coding","critical"))),1,0))</f>
        <v>1</v>
      </c>
      <c r="J85" s="3" t="n">
        <f aca="false">IF(D85="",0,IF(AND(D85&gt;=G85,D85&lt;=H85),1,0))</f>
        <v>1</v>
      </c>
      <c r="K85" s="3" t="n">
        <f aca="false">IF(E85=INDEX(Prompts!$F$2:$F$200,MATCH($B85,Prompts!$A$2:$A$200,0)),1,0)</f>
        <v>1</v>
      </c>
      <c r="L85" s="3" t="n">
        <f aca="false">IF(AND(G85&gt;Settings!$B$4,OR(D85="",D85&lt;=Settings!$B$4)),1,0)</f>
        <v>0</v>
      </c>
      <c r="M85" s="3" t="n">
        <v>9.26</v>
      </c>
      <c r="N85" s="3" t="n">
        <v>313</v>
      </c>
      <c r="O85" s="3" t="n">
        <v>5</v>
      </c>
      <c r="P85" s="14" t="n">
        <v>0.000676</v>
      </c>
      <c r="Q85" s="3" t="s">
        <v>14</v>
      </c>
      <c r="R85" s="3"/>
    </row>
    <row r="86" customFormat="false" ht="15" hidden="false" customHeight="false" outlineLevel="0" collapsed="false">
      <c r="A86" s="3" t="s">
        <v>14</v>
      </c>
      <c r="B86" s="3" t="n">
        <v>21</v>
      </c>
      <c r="C86" s="3" t="s">
        <v>161</v>
      </c>
      <c r="D86" s="3" t="n">
        <v>5</v>
      </c>
      <c r="E86" s="3" t="s">
        <v>56</v>
      </c>
      <c r="F86" s="3" t="str">
        <f aca="false">IF(D86="","none",IF(D86&lt;=Settings!$B$3,"simple",IF(D86&lt;=Settings!$B$4,"coding","critical")))</f>
        <v>coding</v>
      </c>
      <c r="G86" s="3" t="n">
        <f aca="false">INDEX(Prompts!$D$2:$D$200,MATCH($B86,Prompts!$A$2:$A$200,0))</f>
        <v>3</v>
      </c>
      <c r="H86" s="3" t="n">
        <f aca="false">INDEX(Prompts!$E$2:$E$200,MATCH($B86,Prompts!$A$2:$A$200,0))</f>
        <v>5</v>
      </c>
      <c r="I86" s="3" t="n">
        <f aca="false">IF(D86="",0,IF(OR(F86=IF(G86&lt;=Settings!$B$3,"simple",IF(G86&lt;=Settings!$B$4,"coding","critical")),F86=IF(H86&lt;=Settings!$B$3,"simple",IF(H86&lt;=Settings!$B$4,"coding","critical"))),1,0))</f>
        <v>1</v>
      </c>
      <c r="J86" s="3" t="n">
        <f aca="false">IF(D86="",0,IF(AND(D86&gt;=G86,D86&lt;=H86),1,0))</f>
        <v>1</v>
      </c>
      <c r="K86" s="3" t="n">
        <f aca="false">IF(E86=INDEX(Prompts!$F$2:$F$200,MATCH($B86,Prompts!$A$2:$A$200,0)),1,0)</f>
        <v>1</v>
      </c>
      <c r="L86" s="3" t="n">
        <f aca="false">IF(AND(G86&gt;Settings!$B$4,OR(D86="",D86&lt;=Settings!$B$4)),1,0)</f>
        <v>0</v>
      </c>
      <c r="M86" s="3" t="n">
        <v>13.09</v>
      </c>
      <c r="N86" s="3" t="n">
        <v>312</v>
      </c>
      <c r="O86" s="3" t="n">
        <v>5</v>
      </c>
      <c r="P86" s="14" t="n">
        <v>0.000674</v>
      </c>
      <c r="Q86" s="3" t="s">
        <v>14</v>
      </c>
      <c r="R86" s="3"/>
    </row>
    <row r="87" customFormat="false" ht="15" hidden="false" customHeight="false" outlineLevel="0" collapsed="false">
      <c r="A87" s="3" t="s">
        <v>14</v>
      </c>
      <c r="B87" s="3" t="n">
        <v>22</v>
      </c>
      <c r="C87" s="3" t="s">
        <v>142</v>
      </c>
      <c r="D87" s="3" t="n">
        <v>6</v>
      </c>
      <c r="E87" s="3" t="s">
        <v>58</v>
      </c>
      <c r="F87" s="3" t="str">
        <f aca="false">IF(D87="","none",IF(D87&lt;=Settings!$B$3,"simple",IF(D87&lt;=Settings!$B$4,"coding","critical")))</f>
        <v>coding</v>
      </c>
      <c r="G87" s="3" t="n">
        <f aca="false">INDEX(Prompts!$D$2:$D$200,MATCH($B87,Prompts!$A$2:$A$200,0))</f>
        <v>4</v>
      </c>
      <c r="H87" s="3" t="n">
        <f aca="false">INDEX(Prompts!$E$2:$E$200,MATCH($B87,Prompts!$A$2:$A$200,0))</f>
        <v>6</v>
      </c>
      <c r="I87" s="3" t="n">
        <f aca="false">IF(D87="",0,IF(OR(F87=IF(G87&lt;=Settings!$B$3,"simple",IF(G87&lt;=Settings!$B$4,"coding","critical")),F87=IF(H87&lt;=Settings!$B$3,"simple",IF(H87&lt;=Settings!$B$4,"coding","critical"))),1,0))</f>
        <v>1</v>
      </c>
      <c r="J87" s="3" t="n">
        <f aca="false">IF(D87="",0,IF(AND(D87&gt;=G87,D87&lt;=H87),1,0))</f>
        <v>1</v>
      </c>
      <c r="K87" s="3" t="n">
        <f aca="false">IF(E87=INDEX(Prompts!$F$2:$F$200,MATCH($B87,Prompts!$A$2:$A$200,0)),1,0)</f>
        <v>1</v>
      </c>
      <c r="L87" s="3" t="n">
        <f aca="false">IF(AND(G87&gt;Settings!$B$4,OR(D87="",D87&lt;=Settings!$B$4)),1,0)</f>
        <v>0</v>
      </c>
      <c r="M87" s="3" t="n">
        <v>11.69</v>
      </c>
      <c r="N87" s="3" t="n">
        <v>309</v>
      </c>
      <c r="O87" s="3" t="n">
        <v>5</v>
      </c>
      <c r="P87" s="14" t="n">
        <v>0.000668</v>
      </c>
      <c r="Q87" s="3" t="s">
        <v>14</v>
      </c>
      <c r="R87" s="3"/>
    </row>
    <row r="88" customFormat="false" ht="15" hidden="false" customHeight="false" outlineLevel="0" collapsed="false">
      <c r="A88" s="3" t="s">
        <v>14</v>
      </c>
      <c r="B88" s="3" t="n">
        <v>23</v>
      </c>
      <c r="C88" s="3" t="s">
        <v>138</v>
      </c>
      <c r="D88" s="3" t="n">
        <v>5</v>
      </c>
      <c r="E88" s="3" t="s">
        <v>49</v>
      </c>
      <c r="F88" s="3" t="str">
        <f aca="false">IF(D88="","none",IF(D88&lt;=Settings!$B$3,"simple",IF(D88&lt;=Settings!$B$4,"coding","critical")))</f>
        <v>coding</v>
      </c>
      <c r="G88" s="3" t="n">
        <f aca="false">INDEX(Prompts!$D$2:$D$200,MATCH($B88,Prompts!$A$2:$A$200,0))</f>
        <v>5</v>
      </c>
      <c r="H88" s="3" t="n">
        <f aca="false">INDEX(Prompts!$E$2:$E$200,MATCH($B88,Prompts!$A$2:$A$200,0))</f>
        <v>6</v>
      </c>
      <c r="I88" s="3" t="n">
        <f aca="false">IF(D88="",0,IF(OR(F88=IF(G88&lt;=Settings!$B$3,"simple",IF(G88&lt;=Settings!$B$4,"coding","critical")),F88=IF(H88&lt;=Settings!$B$3,"simple",IF(H88&lt;=Settings!$B$4,"coding","critical"))),1,0))</f>
        <v>1</v>
      </c>
      <c r="J88" s="3" t="n">
        <f aca="false">IF(D88="",0,IF(AND(D88&gt;=G88,D88&lt;=H88),1,0))</f>
        <v>1</v>
      </c>
      <c r="K88" s="3" t="n">
        <f aca="false">IF(E88=INDEX(Prompts!$F$2:$F$200,MATCH($B88,Prompts!$A$2:$A$200,0)),1,0)</f>
        <v>1</v>
      </c>
      <c r="L88" s="3" t="n">
        <f aca="false">IF(AND(G88&gt;Settings!$B$4,OR(D88="",D88&lt;=Settings!$B$4)),1,0)</f>
        <v>0</v>
      </c>
      <c r="M88" s="3" t="n">
        <v>10.15</v>
      </c>
      <c r="N88" s="3" t="n">
        <v>314</v>
      </c>
      <c r="O88" s="3" t="n">
        <v>5</v>
      </c>
      <c r="P88" s="14" t="n">
        <v>0.000678</v>
      </c>
      <c r="Q88" s="3" t="s">
        <v>14</v>
      </c>
      <c r="R88" s="3"/>
    </row>
    <row r="89" customFormat="false" ht="15" hidden="false" customHeight="false" outlineLevel="0" collapsed="false">
      <c r="A89" s="3" t="s">
        <v>14</v>
      </c>
      <c r="B89" s="3" t="n">
        <v>24</v>
      </c>
      <c r="C89" s="3" t="s">
        <v>138</v>
      </c>
      <c r="D89" s="3" t="n">
        <v>5</v>
      </c>
      <c r="E89" s="3" t="s">
        <v>49</v>
      </c>
      <c r="F89" s="3" t="str">
        <f aca="false">IF(D89="","none",IF(D89&lt;=Settings!$B$3,"simple",IF(D89&lt;=Settings!$B$4,"coding","critical")))</f>
        <v>coding</v>
      </c>
      <c r="G89" s="3" t="n">
        <f aca="false">INDEX(Prompts!$D$2:$D$200,MATCH($B89,Prompts!$A$2:$A$200,0))</f>
        <v>5</v>
      </c>
      <c r="H89" s="3" t="n">
        <f aca="false">INDEX(Prompts!$E$2:$E$200,MATCH($B89,Prompts!$A$2:$A$200,0))</f>
        <v>7</v>
      </c>
      <c r="I89" s="3" t="n">
        <f aca="false">IF(D89="",0,IF(OR(F89=IF(G89&lt;=Settings!$B$3,"simple",IF(G89&lt;=Settings!$B$4,"coding","critical")),F89=IF(H89&lt;=Settings!$B$3,"simple",IF(H89&lt;=Settings!$B$4,"coding","critical"))),1,0))</f>
        <v>1</v>
      </c>
      <c r="J89" s="3" t="n">
        <f aca="false">IF(D89="",0,IF(AND(D89&gt;=G89,D89&lt;=H89),1,0))</f>
        <v>1</v>
      </c>
      <c r="K89" s="3" t="n">
        <f aca="false">IF(E89=INDEX(Prompts!$F$2:$F$200,MATCH($B89,Prompts!$A$2:$A$200,0)),1,0)</f>
        <v>1</v>
      </c>
      <c r="L89" s="3" t="n">
        <f aca="false">IF(AND(G89&gt;Settings!$B$4,OR(D89="",D89&lt;=Settings!$B$4)),1,0)</f>
        <v>0</v>
      </c>
      <c r="M89" s="3" t="n">
        <v>11.14</v>
      </c>
      <c r="N89" s="3" t="n">
        <v>315</v>
      </c>
      <c r="O89" s="3" t="n">
        <v>5</v>
      </c>
      <c r="P89" s="14" t="n">
        <v>0.00068</v>
      </c>
      <c r="Q89" s="3" t="s">
        <v>14</v>
      </c>
      <c r="R89" s="3"/>
    </row>
    <row r="90" customFormat="false" ht="15" hidden="false" customHeight="false" outlineLevel="0" collapsed="false">
      <c r="A90" s="3" t="s">
        <v>14</v>
      </c>
      <c r="B90" s="3" t="n">
        <v>25</v>
      </c>
      <c r="C90" s="3" t="s">
        <v>140</v>
      </c>
      <c r="D90" s="3" t="n">
        <v>6</v>
      </c>
      <c r="E90" s="3" t="s">
        <v>49</v>
      </c>
      <c r="F90" s="3" t="str">
        <f aca="false">IF(D90="","none",IF(D90&lt;=Settings!$B$3,"simple",IF(D90&lt;=Settings!$B$4,"coding","critical")))</f>
        <v>coding</v>
      </c>
      <c r="G90" s="3" t="n">
        <f aca="false">INDEX(Prompts!$D$2:$D$200,MATCH($B90,Prompts!$A$2:$A$200,0))</f>
        <v>5</v>
      </c>
      <c r="H90" s="3" t="n">
        <f aca="false">INDEX(Prompts!$E$2:$E$200,MATCH($B90,Prompts!$A$2:$A$200,0))</f>
        <v>7</v>
      </c>
      <c r="I90" s="3" t="n">
        <f aca="false">IF(D90="",0,IF(OR(F90=IF(G90&lt;=Settings!$B$3,"simple",IF(G90&lt;=Settings!$B$4,"coding","critical")),F90=IF(H90&lt;=Settings!$B$3,"simple",IF(H90&lt;=Settings!$B$4,"coding","critical"))),1,0))</f>
        <v>1</v>
      </c>
      <c r="J90" s="3" t="n">
        <f aca="false">IF(D90="",0,IF(AND(D90&gt;=G90,D90&lt;=H90),1,0))</f>
        <v>1</v>
      </c>
      <c r="K90" s="3" t="n">
        <f aca="false">IF(E90=INDEX(Prompts!$F$2:$F$200,MATCH($B90,Prompts!$A$2:$A$200,0)),1,0)</f>
        <v>1</v>
      </c>
      <c r="L90" s="3" t="n">
        <f aca="false">IF(AND(G90&gt;Settings!$B$4,OR(D90="",D90&lt;=Settings!$B$4)),1,0)</f>
        <v>0</v>
      </c>
      <c r="M90" s="3" t="n">
        <v>10.22</v>
      </c>
      <c r="N90" s="3" t="n">
        <v>322</v>
      </c>
      <c r="O90" s="3" t="n">
        <v>5</v>
      </c>
      <c r="P90" s="14" t="n">
        <v>0.000694</v>
      </c>
      <c r="Q90" s="3" t="s">
        <v>14</v>
      </c>
      <c r="R90" s="3"/>
    </row>
    <row r="91" customFormat="false" ht="15" hidden="false" customHeight="false" outlineLevel="0" collapsed="false">
      <c r="A91" s="3" t="s">
        <v>14</v>
      </c>
      <c r="B91" s="3" t="n">
        <v>26</v>
      </c>
      <c r="C91" s="3" t="s">
        <v>138</v>
      </c>
      <c r="D91" s="3" t="n">
        <v>5</v>
      </c>
      <c r="E91" s="3" t="s">
        <v>49</v>
      </c>
      <c r="F91" s="3" t="str">
        <f aca="false">IF(D91="","none",IF(D91&lt;=Settings!$B$3,"simple",IF(D91&lt;=Settings!$B$4,"coding","critical")))</f>
        <v>coding</v>
      </c>
      <c r="G91" s="3" t="n">
        <f aca="false">INDEX(Prompts!$D$2:$D$200,MATCH($B91,Prompts!$A$2:$A$200,0))</f>
        <v>5</v>
      </c>
      <c r="H91" s="3" t="n">
        <f aca="false">INDEX(Prompts!$E$2:$E$200,MATCH($B91,Prompts!$A$2:$A$200,0))</f>
        <v>6</v>
      </c>
      <c r="I91" s="3" t="n">
        <f aca="false">IF(D91="",0,IF(OR(F91=IF(G91&lt;=Settings!$B$3,"simple",IF(G91&lt;=Settings!$B$4,"coding","critical")),F91=IF(H91&lt;=Settings!$B$3,"simple",IF(H91&lt;=Settings!$B$4,"coding","critical"))),1,0))</f>
        <v>1</v>
      </c>
      <c r="J91" s="3" t="n">
        <f aca="false">IF(D91="",0,IF(AND(D91&gt;=G91,D91&lt;=H91),1,0))</f>
        <v>1</v>
      </c>
      <c r="K91" s="3" t="n">
        <f aca="false">IF(E91=INDEX(Prompts!$F$2:$F$200,MATCH($B91,Prompts!$A$2:$A$200,0)),1,0)</f>
        <v>1</v>
      </c>
      <c r="L91" s="3" t="n">
        <f aca="false">IF(AND(G91&gt;Settings!$B$4,OR(D91="",D91&lt;=Settings!$B$4)),1,0)</f>
        <v>0</v>
      </c>
      <c r="M91" s="3" t="n">
        <v>12.61</v>
      </c>
      <c r="N91" s="3" t="n">
        <v>307</v>
      </c>
      <c r="O91" s="3" t="n">
        <v>5</v>
      </c>
      <c r="P91" s="14" t="n">
        <v>0.000664</v>
      </c>
      <c r="Q91" s="3" t="s">
        <v>14</v>
      </c>
      <c r="R91" s="3"/>
    </row>
    <row r="92" customFormat="false" ht="15" hidden="false" customHeight="false" outlineLevel="0" collapsed="false">
      <c r="A92" s="3" t="s">
        <v>14</v>
      </c>
      <c r="B92" s="3" t="n">
        <v>27</v>
      </c>
      <c r="C92" s="3" t="s">
        <v>157</v>
      </c>
      <c r="D92" s="3" t="n">
        <v>7</v>
      </c>
      <c r="E92" s="3" t="s">
        <v>49</v>
      </c>
      <c r="F92" s="3" t="str">
        <f aca="false">IF(D92="","none",IF(D92&lt;=Settings!$B$3,"simple",IF(D92&lt;=Settings!$B$4,"coding","critical")))</f>
        <v>coding</v>
      </c>
      <c r="G92" s="3" t="n">
        <f aca="false">INDEX(Prompts!$D$2:$D$200,MATCH($B92,Prompts!$A$2:$A$200,0))</f>
        <v>7</v>
      </c>
      <c r="H92" s="3" t="n">
        <f aca="false">INDEX(Prompts!$E$2:$E$200,MATCH($B92,Prompts!$A$2:$A$200,0))</f>
        <v>9</v>
      </c>
      <c r="I92" s="3" t="n">
        <f aca="false">IF(D92="",0,IF(OR(F92=IF(G92&lt;=Settings!$B$3,"simple",IF(G92&lt;=Settings!$B$4,"coding","critical")),F92=IF(H92&lt;=Settings!$B$3,"simple",IF(H92&lt;=Settings!$B$4,"coding","critical"))),1,0))</f>
        <v>1</v>
      </c>
      <c r="J92" s="3" t="n">
        <f aca="false">IF(D92="",0,IF(AND(D92&gt;=G92,D92&lt;=H92),1,0))</f>
        <v>1</v>
      </c>
      <c r="K92" s="3" t="n">
        <f aca="false">IF(E92=INDEX(Prompts!$F$2:$F$200,MATCH($B92,Prompts!$A$2:$A$200,0)),1,0)</f>
        <v>1</v>
      </c>
      <c r="L92" s="3" t="n">
        <f aca="false">IF(AND(G92&gt;Settings!$B$4,OR(D92="",D92&lt;=Settings!$B$4)),1,0)</f>
        <v>0</v>
      </c>
      <c r="M92" s="3" t="n">
        <v>13.34</v>
      </c>
      <c r="N92" s="3" t="n">
        <v>315</v>
      </c>
      <c r="O92" s="3" t="n">
        <v>5</v>
      </c>
      <c r="P92" s="14" t="n">
        <v>0.00068</v>
      </c>
      <c r="Q92" s="3" t="s">
        <v>14</v>
      </c>
      <c r="R92" s="3"/>
    </row>
    <row r="93" customFormat="false" ht="15" hidden="false" customHeight="false" outlineLevel="0" collapsed="false">
      <c r="A93" s="3" t="s">
        <v>14</v>
      </c>
      <c r="B93" s="3" t="n">
        <v>28</v>
      </c>
      <c r="C93" s="3" t="s">
        <v>158</v>
      </c>
      <c r="D93" s="3" t="n">
        <v>8</v>
      </c>
      <c r="E93" s="3" t="s">
        <v>53</v>
      </c>
      <c r="F93" s="3" t="str">
        <f aca="false">IF(D93="","none",IF(D93&lt;=Settings!$B$3,"simple",IF(D93&lt;=Settings!$B$4,"coding","critical")))</f>
        <v>critical</v>
      </c>
      <c r="G93" s="3" t="n">
        <f aca="false">INDEX(Prompts!$D$2:$D$200,MATCH($B93,Prompts!$A$2:$A$200,0))</f>
        <v>7</v>
      </c>
      <c r="H93" s="3" t="n">
        <f aca="false">INDEX(Prompts!$E$2:$E$200,MATCH($B93,Prompts!$A$2:$A$200,0))</f>
        <v>9</v>
      </c>
      <c r="I93" s="3" t="n">
        <f aca="false">IF(D93="",0,IF(OR(F93=IF(G93&lt;=Settings!$B$3,"simple",IF(G93&lt;=Settings!$B$4,"coding","critical")),F93=IF(H93&lt;=Settings!$B$3,"simple",IF(H93&lt;=Settings!$B$4,"coding","critical"))),1,0))</f>
        <v>1</v>
      </c>
      <c r="J93" s="3" t="n">
        <f aca="false">IF(D93="",0,IF(AND(D93&gt;=G93,D93&lt;=H93),1,0))</f>
        <v>1</v>
      </c>
      <c r="K93" s="3" t="n">
        <f aca="false">IF(E93=INDEX(Prompts!$F$2:$F$200,MATCH($B93,Prompts!$A$2:$A$200,0)),1,0)</f>
        <v>1</v>
      </c>
      <c r="L93" s="3" t="n">
        <f aca="false">IF(AND(G93&gt;Settings!$B$4,OR(D93="",D93&lt;=Settings!$B$4)),1,0)</f>
        <v>0</v>
      </c>
      <c r="M93" s="3" t="n">
        <v>11.01</v>
      </c>
      <c r="N93" s="3" t="n">
        <v>320</v>
      </c>
      <c r="O93" s="3" t="n">
        <v>5</v>
      </c>
      <c r="P93" s="14" t="n">
        <v>0.00069</v>
      </c>
      <c r="Q93" s="3" t="s">
        <v>14</v>
      </c>
      <c r="R93" s="3"/>
    </row>
    <row r="94" customFormat="false" ht="15" hidden="false" customHeight="false" outlineLevel="0" collapsed="false">
      <c r="A94" s="3" t="s">
        <v>14</v>
      </c>
      <c r="B94" s="3" t="n">
        <v>29</v>
      </c>
      <c r="C94" s="3" t="s">
        <v>148</v>
      </c>
      <c r="D94" s="3" t="n">
        <v>9</v>
      </c>
      <c r="E94" s="3" t="s">
        <v>49</v>
      </c>
      <c r="F94" s="3" t="str">
        <f aca="false">IF(D94="","none",IF(D94&lt;=Settings!$B$3,"simple",IF(D94&lt;=Settings!$B$4,"coding","critical")))</f>
        <v>critical</v>
      </c>
      <c r="G94" s="3" t="n">
        <f aca="false">INDEX(Prompts!$D$2:$D$200,MATCH($B94,Prompts!$A$2:$A$200,0))</f>
        <v>8</v>
      </c>
      <c r="H94" s="3" t="n">
        <f aca="false">INDEX(Prompts!$E$2:$E$200,MATCH($B94,Prompts!$A$2:$A$200,0))</f>
        <v>10</v>
      </c>
      <c r="I94" s="3" t="n">
        <f aca="false">IF(D94="",0,IF(OR(F94=IF(G94&lt;=Settings!$B$3,"simple",IF(G94&lt;=Settings!$B$4,"coding","critical")),F94=IF(H94&lt;=Settings!$B$3,"simple",IF(H94&lt;=Settings!$B$4,"coding","critical"))),1,0))</f>
        <v>1</v>
      </c>
      <c r="J94" s="3" t="n">
        <f aca="false">IF(D94="",0,IF(AND(D94&gt;=G94,D94&lt;=H94),1,0))</f>
        <v>1</v>
      </c>
      <c r="K94" s="3" t="n">
        <f aca="false">IF(E94=INDEX(Prompts!$F$2:$F$200,MATCH($B94,Prompts!$A$2:$A$200,0)),1,0)</f>
        <v>1</v>
      </c>
      <c r="L94" s="3" t="n">
        <f aca="false">IF(AND(G94&gt;Settings!$B$4,OR(D94="",D94&lt;=Settings!$B$4)),1,0)</f>
        <v>0</v>
      </c>
      <c r="M94" s="3" t="n">
        <v>14.78</v>
      </c>
      <c r="N94" s="3" t="n">
        <v>318</v>
      </c>
      <c r="O94" s="3" t="n">
        <v>5</v>
      </c>
      <c r="P94" s="14" t="n">
        <v>0.000686</v>
      </c>
      <c r="Q94" s="3" t="s">
        <v>14</v>
      </c>
      <c r="R94" s="3"/>
    </row>
    <row r="95" customFormat="false" ht="15" hidden="false" customHeight="false" outlineLevel="0" collapsed="false">
      <c r="A95" s="3" t="s">
        <v>14</v>
      </c>
      <c r="B95" s="3" t="n">
        <v>30</v>
      </c>
      <c r="C95" s="3" t="s">
        <v>159</v>
      </c>
      <c r="D95" s="3" t="n">
        <v>10</v>
      </c>
      <c r="E95" s="3" t="s">
        <v>49</v>
      </c>
      <c r="F95" s="3" t="str">
        <f aca="false">IF(D95="","none",IF(D95&lt;=Settings!$B$3,"simple",IF(D95&lt;=Settings!$B$4,"coding","critical")))</f>
        <v>critical</v>
      </c>
      <c r="G95" s="3" t="n">
        <f aca="false">INDEX(Prompts!$D$2:$D$200,MATCH($B95,Prompts!$A$2:$A$200,0))</f>
        <v>9</v>
      </c>
      <c r="H95" s="3" t="n">
        <f aca="false">INDEX(Prompts!$E$2:$E$200,MATCH($B95,Prompts!$A$2:$A$200,0))</f>
        <v>10</v>
      </c>
      <c r="I95" s="3" t="n">
        <f aca="false">IF(D95="",0,IF(OR(F95=IF(G95&lt;=Settings!$B$3,"simple",IF(G95&lt;=Settings!$B$4,"coding","critical")),F95=IF(H95&lt;=Settings!$B$3,"simple",IF(H95&lt;=Settings!$B$4,"coding","critical"))),1,0))</f>
        <v>1</v>
      </c>
      <c r="J95" s="3" t="n">
        <f aca="false">IF(D95="",0,IF(AND(D95&gt;=G95,D95&lt;=H95),1,0))</f>
        <v>1</v>
      </c>
      <c r="K95" s="3" t="n">
        <f aca="false">IF(E95=INDEX(Prompts!$F$2:$F$200,MATCH($B95,Prompts!$A$2:$A$200,0)),1,0)</f>
        <v>1</v>
      </c>
      <c r="L95" s="3" t="n">
        <f aca="false">IF(AND(G95&gt;Settings!$B$4,OR(D95="",D95&lt;=Settings!$B$4)),1,0)</f>
        <v>0</v>
      </c>
      <c r="M95" s="3" t="n">
        <v>19.96</v>
      </c>
      <c r="N95" s="3" t="n">
        <v>320</v>
      </c>
      <c r="O95" s="3" t="n">
        <v>5</v>
      </c>
      <c r="P95" s="14" t="n">
        <v>0.00069</v>
      </c>
      <c r="Q95" s="3" t="s">
        <v>14</v>
      </c>
      <c r="R95" s="3"/>
    </row>
    <row r="96" customFormat="false" ht="15" hidden="false" customHeight="false" outlineLevel="0" collapsed="false">
      <c r="A96" s="3" t="s">
        <v>14</v>
      </c>
      <c r="B96" s="3" t="n">
        <v>31</v>
      </c>
      <c r="C96" s="3" t="s">
        <v>148</v>
      </c>
      <c r="D96" s="3" t="n">
        <v>9</v>
      </c>
      <c r="E96" s="3" t="s">
        <v>49</v>
      </c>
      <c r="F96" s="3" t="str">
        <f aca="false">IF(D96="","none",IF(D96&lt;=Settings!$B$3,"simple",IF(D96&lt;=Settings!$B$4,"coding","critical")))</f>
        <v>critical</v>
      </c>
      <c r="G96" s="3" t="n">
        <f aca="false">INDEX(Prompts!$D$2:$D$200,MATCH($B96,Prompts!$A$2:$A$200,0))</f>
        <v>9</v>
      </c>
      <c r="H96" s="3" t="n">
        <f aca="false">INDEX(Prompts!$E$2:$E$200,MATCH($B96,Prompts!$A$2:$A$200,0))</f>
        <v>10</v>
      </c>
      <c r="I96" s="3" t="n">
        <f aca="false">IF(D96="",0,IF(OR(F96=IF(G96&lt;=Settings!$B$3,"simple",IF(G96&lt;=Settings!$B$4,"coding","critical")),F96=IF(H96&lt;=Settings!$B$3,"simple",IF(H96&lt;=Settings!$B$4,"coding","critical"))),1,0))</f>
        <v>1</v>
      </c>
      <c r="J96" s="3" t="n">
        <f aca="false">IF(D96="",0,IF(AND(D96&gt;=G96,D96&lt;=H96),1,0))</f>
        <v>1</v>
      </c>
      <c r="K96" s="3" t="n">
        <f aca="false">IF(E96=INDEX(Prompts!$F$2:$F$200,MATCH($B96,Prompts!$A$2:$A$200,0)),1,0)</f>
        <v>0</v>
      </c>
      <c r="L96" s="3" t="n">
        <f aca="false">IF(AND(G96&gt;Settings!$B$4,OR(D96="",D96&lt;=Settings!$B$4)),1,0)</f>
        <v>0</v>
      </c>
      <c r="M96" s="3" t="n">
        <v>9.74</v>
      </c>
      <c r="N96" s="3" t="n">
        <v>316</v>
      </c>
      <c r="O96" s="3" t="n">
        <v>5</v>
      </c>
      <c r="P96" s="14" t="n">
        <v>0.000682</v>
      </c>
      <c r="Q96" s="3" t="s">
        <v>14</v>
      </c>
      <c r="R96" s="3"/>
    </row>
    <row r="97" customFormat="false" ht="15" hidden="false" customHeight="false" outlineLevel="0" collapsed="false">
      <c r="A97" s="3" t="s">
        <v>14</v>
      </c>
      <c r="B97" s="3" t="n">
        <v>32</v>
      </c>
      <c r="C97" s="3" t="s">
        <v>159</v>
      </c>
      <c r="D97" s="3" t="n">
        <v>10</v>
      </c>
      <c r="E97" s="3" t="s">
        <v>49</v>
      </c>
      <c r="F97" s="3" t="str">
        <f aca="false">IF(D97="","none",IF(D97&lt;=Settings!$B$3,"simple",IF(D97&lt;=Settings!$B$4,"coding","critical")))</f>
        <v>critical</v>
      </c>
      <c r="G97" s="3" t="n">
        <f aca="false">INDEX(Prompts!$D$2:$D$200,MATCH($B97,Prompts!$A$2:$A$200,0))</f>
        <v>9</v>
      </c>
      <c r="H97" s="3" t="n">
        <f aca="false">INDEX(Prompts!$E$2:$E$200,MATCH($B97,Prompts!$A$2:$A$200,0))</f>
        <v>10</v>
      </c>
      <c r="I97" s="3" t="n">
        <f aca="false">IF(D97="",0,IF(OR(F97=IF(G97&lt;=Settings!$B$3,"simple",IF(G97&lt;=Settings!$B$4,"coding","critical")),F97=IF(H97&lt;=Settings!$B$3,"simple",IF(H97&lt;=Settings!$B$4,"coding","critical"))),1,0))</f>
        <v>1</v>
      </c>
      <c r="J97" s="3" t="n">
        <f aca="false">IF(D97="",0,IF(AND(D97&gt;=G97,D97&lt;=H97),1,0))</f>
        <v>1</v>
      </c>
      <c r="K97" s="3" t="n">
        <f aca="false">IF(E97=INDEX(Prompts!$F$2:$F$200,MATCH($B97,Prompts!$A$2:$A$200,0)),1,0)</f>
        <v>1</v>
      </c>
      <c r="L97" s="3" t="n">
        <f aca="false">IF(AND(G97&gt;Settings!$B$4,OR(D97="",D97&lt;=Settings!$B$4)),1,0)</f>
        <v>0</v>
      </c>
      <c r="M97" s="3" t="n">
        <v>14.12</v>
      </c>
      <c r="N97" s="3" t="n">
        <v>328</v>
      </c>
      <c r="O97" s="3" t="n">
        <v>5</v>
      </c>
      <c r="P97" s="14" t="n">
        <v>0.000706</v>
      </c>
      <c r="Q97" s="3" t="s">
        <v>14</v>
      </c>
      <c r="R97" s="3"/>
    </row>
    <row r="98" customFormat="false" ht="15" hidden="false" customHeight="false" outlineLevel="0" collapsed="false">
      <c r="A98" s="3" t="s">
        <v>15</v>
      </c>
      <c r="B98" s="3" t="n">
        <v>1</v>
      </c>
      <c r="C98" s="3" t="s">
        <v>131</v>
      </c>
      <c r="D98" s="3" t="n">
        <v>1</v>
      </c>
      <c r="E98" s="3" t="s">
        <v>49</v>
      </c>
      <c r="F98" s="3" t="str">
        <f aca="false">IF(D98="","none",IF(D98&lt;=Settings!$B$3,"simple",IF(D98&lt;=Settings!$B$4,"coding","critical")))</f>
        <v>simple</v>
      </c>
      <c r="G98" s="3" t="n">
        <f aca="false">INDEX(Prompts!$D$2:$D$200,MATCH($B98,Prompts!$A$2:$A$200,0))</f>
        <v>1</v>
      </c>
      <c r="H98" s="3" t="n">
        <f aca="false">INDEX(Prompts!$E$2:$E$200,MATCH($B98,Prompts!$A$2:$A$200,0))</f>
        <v>2</v>
      </c>
      <c r="I98" s="3" t="n">
        <f aca="false">IF(D98="",0,IF(OR(F98=IF(G98&lt;=Settings!$B$3,"simple",IF(G98&lt;=Settings!$B$4,"coding","critical")),F98=IF(H98&lt;=Settings!$B$3,"simple",IF(H98&lt;=Settings!$B$4,"coding","critical"))),1,0))</f>
        <v>1</v>
      </c>
      <c r="J98" s="3" t="n">
        <f aca="false">IF(D98="",0,IF(AND(D98&gt;=G98,D98&lt;=H98),1,0))</f>
        <v>1</v>
      </c>
      <c r="K98" s="3" t="n">
        <f aca="false">IF(E98=INDEX(Prompts!$F$2:$F$200,MATCH($B98,Prompts!$A$2:$A$200,0)),1,0)</f>
        <v>1</v>
      </c>
      <c r="L98" s="3" t="n">
        <f aca="false">IF(AND(G98&gt;Settings!$B$4,OR(D98="",D98&lt;=Settings!$B$4)),1,0)</f>
        <v>0</v>
      </c>
      <c r="M98" s="3" t="n">
        <v>2.8</v>
      </c>
      <c r="N98" s="3" t="n">
        <v>372</v>
      </c>
      <c r="O98" s="3" t="n">
        <v>111</v>
      </c>
      <c r="P98" s="14" t="n">
        <v>0.000241</v>
      </c>
      <c r="Q98" s="3" t="s">
        <v>162</v>
      </c>
      <c r="R98" s="3"/>
    </row>
    <row r="99" customFormat="false" ht="15" hidden="false" customHeight="false" outlineLevel="0" collapsed="false">
      <c r="A99" s="3" t="s">
        <v>15</v>
      </c>
      <c r="B99" s="3" t="n">
        <v>2</v>
      </c>
      <c r="C99" s="3" t="s">
        <v>131</v>
      </c>
      <c r="D99" s="3" t="n">
        <v>1</v>
      </c>
      <c r="E99" s="3" t="s">
        <v>49</v>
      </c>
      <c r="F99" s="3" t="str">
        <f aca="false">IF(D99="","none",IF(D99&lt;=Settings!$B$3,"simple",IF(D99&lt;=Settings!$B$4,"coding","critical")))</f>
        <v>simple</v>
      </c>
      <c r="G99" s="3" t="n">
        <f aca="false">INDEX(Prompts!$D$2:$D$200,MATCH($B99,Prompts!$A$2:$A$200,0))</f>
        <v>1</v>
      </c>
      <c r="H99" s="3" t="n">
        <f aca="false">INDEX(Prompts!$E$2:$E$200,MATCH($B99,Prompts!$A$2:$A$200,0))</f>
        <v>2</v>
      </c>
      <c r="I99" s="3" t="n">
        <f aca="false">IF(D99="",0,IF(OR(F99=IF(G99&lt;=Settings!$B$3,"simple",IF(G99&lt;=Settings!$B$4,"coding","critical")),F99=IF(H99&lt;=Settings!$B$3,"simple",IF(H99&lt;=Settings!$B$4,"coding","critical"))),1,0))</f>
        <v>1</v>
      </c>
      <c r="J99" s="3" t="n">
        <f aca="false">IF(D99="",0,IF(AND(D99&gt;=G99,D99&lt;=H99),1,0))</f>
        <v>1</v>
      </c>
      <c r="K99" s="3" t="n">
        <f aca="false">IF(E99=INDEX(Prompts!$F$2:$F$200,MATCH($B99,Prompts!$A$2:$A$200,0)),1,0)</f>
        <v>1</v>
      </c>
      <c r="L99" s="3" t="n">
        <f aca="false">IF(AND(G99&gt;Settings!$B$4,OR(D99="",D99&lt;=Settings!$B$4)),1,0)</f>
        <v>0</v>
      </c>
      <c r="M99" s="3" t="n">
        <v>7.37</v>
      </c>
      <c r="N99" s="3" t="n">
        <v>378</v>
      </c>
      <c r="O99" s="3" t="n">
        <v>382</v>
      </c>
      <c r="P99" s="14" t="n">
        <v>0.00038</v>
      </c>
      <c r="Q99" s="3" t="s">
        <v>162</v>
      </c>
      <c r="R99" s="3"/>
    </row>
    <row r="100" customFormat="false" ht="15" hidden="false" customHeight="false" outlineLevel="0" collapsed="false">
      <c r="A100" s="3" t="s">
        <v>15</v>
      </c>
      <c r="B100" s="3" t="n">
        <v>3</v>
      </c>
      <c r="C100" s="3" t="s">
        <v>129</v>
      </c>
      <c r="D100" s="3" t="n">
        <v>1</v>
      </c>
      <c r="E100" s="3" t="s">
        <v>53</v>
      </c>
      <c r="F100" s="3" t="str">
        <f aca="false">IF(D100="","none",IF(D100&lt;=Settings!$B$3,"simple",IF(D100&lt;=Settings!$B$4,"coding","critical")))</f>
        <v>simple</v>
      </c>
      <c r="G100" s="3" t="n">
        <f aca="false">INDEX(Prompts!$D$2:$D$200,MATCH($B100,Prompts!$A$2:$A$200,0))</f>
        <v>1</v>
      </c>
      <c r="H100" s="3" t="n">
        <f aca="false">INDEX(Prompts!$E$2:$E$200,MATCH($B100,Prompts!$A$2:$A$200,0))</f>
        <v>2</v>
      </c>
      <c r="I100" s="3" t="n">
        <f aca="false">IF(D100="",0,IF(OR(F100=IF(G100&lt;=Settings!$B$3,"simple",IF(G100&lt;=Settings!$B$4,"coding","critical")),F100=IF(H100&lt;=Settings!$B$3,"simple",IF(H100&lt;=Settings!$B$4,"coding","critical"))),1,0))</f>
        <v>1</v>
      </c>
      <c r="J100" s="3" t="n">
        <f aca="false">IF(D100="",0,IF(AND(D100&gt;=G100,D100&lt;=H100),1,0))</f>
        <v>1</v>
      </c>
      <c r="K100" s="3" t="n">
        <f aca="false">IF(E100=INDEX(Prompts!$F$2:$F$200,MATCH($B100,Prompts!$A$2:$A$200,0)),1,0)</f>
        <v>1</v>
      </c>
      <c r="L100" s="3" t="n">
        <f aca="false">IF(AND(G100&gt;Settings!$B$4,OR(D100="",D100&lt;=Settings!$B$4)),1,0)</f>
        <v>0</v>
      </c>
      <c r="M100" s="3" t="n">
        <v>4.97</v>
      </c>
      <c r="N100" s="3" t="n">
        <v>376</v>
      </c>
      <c r="O100" s="3" t="n">
        <v>243</v>
      </c>
      <c r="P100" s="14" t="n">
        <v>0.000309</v>
      </c>
      <c r="Q100" s="3" t="s">
        <v>162</v>
      </c>
      <c r="R100" s="3"/>
    </row>
    <row r="101" customFormat="false" ht="15" hidden="false" customHeight="false" outlineLevel="0" collapsed="false">
      <c r="A101" s="3" t="s">
        <v>15</v>
      </c>
      <c r="B101" s="3" t="n">
        <v>4</v>
      </c>
      <c r="C101" s="3" t="s">
        <v>131</v>
      </c>
      <c r="D101" s="3" t="n">
        <v>1</v>
      </c>
      <c r="E101" s="3" t="s">
        <v>49</v>
      </c>
      <c r="F101" s="3" t="str">
        <f aca="false">IF(D101="","none",IF(D101&lt;=Settings!$B$3,"simple",IF(D101&lt;=Settings!$B$4,"coding","critical")))</f>
        <v>simple</v>
      </c>
      <c r="G101" s="3" t="n">
        <f aca="false">INDEX(Prompts!$D$2:$D$200,MATCH($B101,Prompts!$A$2:$A$200,0))</f>
        <v>1</v>
      </c>
      <c r="H101" s="3" t="n">
        <f aca="false">INDEX(Prompts!$E$2:$E$200,MATCH($B101,Prompts!$A$2:$A$200,0))</f>
        <v>2</v>
      </c>
      <c r="I101" s="3" t="n">
        <f aca="false">IF(D101="",0,IF(OR(F101=IF(G101&lt;=Settings!$B$3,"simple",IF(G101&lt;=Settings!$B$4,"coding","critical")),F101=IF(H101&lt;=Settings!$B$3,"simple",IF(H101&lt;=Settings!$B$4,"coding","critical"))),1,0))</f>
        <v>1</v>
      </c>
      <c r="J101" s="3" t="n">
        <f aca="false">IF(D101="",0,IF(AND(D101&gt;=G101,D101&lt;=H101),1,0))</f>
        <v>1</v>
      </c>
      <c r="K101" s="3" t="n">
        <f aca="false">IF(E101=INDEX(Prompts!$F$2:$F$200,MATCH($B101,Prompts!$A$2:$A$200,0)),1,0)</f>
        <v>0</v>
      </c>
      <c r="L101" s="3" t="n">
        <f aca="false">IF(AND(G101&gt;Settings!$B$4,OR(D101="",D101&lt;=Settings!$B$4)),1,0)</f>
        <v>0</v>
      </c>
      <c r="M101" s="3" t="n">
        <v>2.29</v>
      </c>
      <c r="N101" s="3" t="n">
        <v>115</v>
      </c>
      <c r="O101" s="3" t="n">
        <v>71</v>
      </c>
      <c r="P101" s="14" t="n">
        <v>0.000106</v>
      </c>
      <c r="Q101" s="3" t="s">
        <v>162</v>
      </c>
      <c r="R101" s="3"/>
    </row>
    <row r="102" customFormat="false" ht="15" hidden="false" customHeight="false" outlineLevel="0" collapsed="false">
      <c r="A102" s="3" t="s">
        <v>15</v>
      </c>
      <c r="B102" s="3" t="n">
        <v>5</v>
      </c>
      <c r="C102" s="3" t="s">
        <v>128</v>
      </c>
      <c r="D102" s="3" t="n">
        <v>1</v>
      </c>
      <c r="E102" s="3" t="s">
        <v>56</v>
      </c>
      <c r="F102" s="3" t="str">
        <f aca="false">IF(D102="","none",IF(D102&lt;=Settings!$B$3,"simple",IF(D102&lt;=Settings!$B$4,"coding","critical")))</f>
        <v>simple</v>
      </c>
      <c r="G102" s="3" t="n">
        <f aca="false">INDEX(Prompts!$D$2:$D$200,MATCH($B102,Prompts!$A$2:$A$200,0))</f>
        <v>1</v>
      </c>
      <c r="H102" s="3" t="n">
        <f aca="false">INDEX(Prompts!$E$2:$E$200,MATCH($B102,Prompts!$A$2:$A$200,0))</f>
        <v>2</v>
      </c>
      <c r="I102" s="3" t="n">
        <f aca="false">IF(D102="",0,IF(OR(F102=IF(G102&lt;=Settings!$B$3,"simple",IF(G102&lt;=Settings!$B$4,"coding","critical")),F102=IF(H102&lt;=Settings!$B$3,"simple",IF(H102&lt;=Settings!$B$4,"coding","critical"))),1,0))</f>
        <v>1</v>
      </c>
      <c r="J102" s="3" t="n">
        <f aca="false">IF(D102="",0,IF(AND(D102&gt;=G102,D102&lt;=H102),1,0))</f>
        <v>1</v>
      </c>
      <c r="K102" s="3" t="n">
        <f aca="false">IF(E102=INDEX(Prompts!$F$2:$F$200,MATCH($B102,Prompts!$A$2:$A$200,0)),1,0)</f>
        <v>0</v>
      </c>
      <c r="L102" s="3" t="n">
        <f aca="false">IF(AND(G102&gt;Settings!$B$4,OR(D102="",D102&lt;=Settings!$B$4)),1,0)</f>
        <v>0</v>
      </c>
      <c r="M102" s="3" t="n">
        <v>4.97</v>
      </c>
      <c r="N102" s="3" t="n">
        <v>122</v>
      </c>
      <c r="O102" s="3" t="n">
        <v>216</v>
      </c>
      <c r="P102" s="14" t="n">
        <v>0.000182</v>
      </c>
      <c r="Q102" s="3" t="s">
        <v>162</v>
      </c>
      <c r="R102" s="3"/>
    </row>
    <row r="103" customFormat="false" ht="15" hidden="false" customHeight="false" outlineLevel="0" collapsed="false">
      <c r="A103" s="3" t="s">
        <v>15</v>
      </c>
      <c r="B103" s="3" t="n">
        <v>6</v>
      </c>
      <c r="C103" s="3" t="s">
        <v>128</v>
      </c>
      <c r="D103" s="3" t="n">
        <v>1</v>
      </c>
      <c r="E103" s="3" t="s">
        <v>56</v>
      </c>
      <c r="F103" s="3" t="str">
        <f aca="false">IF(D103="","none",IF(D103&lt;=Settings!$B$3,"simple",IF(D103&lt;=Settings!$B$4,"coding","critical")))</f>
        <v>simple</v>
      </c>
      <c r="G103" s="3" t="n">
        <f aca="false">INDEX(Prompts!$D$2:$D$200,MATCH($B103,Prompts!$A$2:$A$200,0))</f>
        <v>1</v>
      </c>
      <c r="H103" s="3" t="n">
        <f aca="false">INDEX(Prompts!$E$2:$E$200,MATCH($B103,Prompts!$A$2:$A$200,0))</f>
        <v>2</v>
      </c>
      <c r="I103" s="3" t="n">
        <f aca="false">IF(D103="",0,IF(OR(F103=IF(G103&lt;=Settings!$B$3,"simple",IF(G103&lt;=Settings!$B$4,"coding","critical")),F103=IF(H103&lt;=Settings!$B$3,"simple",IF(H103&lt;=Settings!$B$4,"coding","critical"))),1,0))</f>
        <v>1</v>
      </c>
      <c r="J103" s="3" t="n">
        <f aca="false">IF(D103="",0,IF(AND(D103&gt;=G103,D103&lt;=H103),1,0))</f>
        <v>1</v>
      </c>
      <c r="K103" s="3" t="n">
        <f aca="false">IF(E103=INDEX(Prompts!$F$2:$F$200,MATCH($B103,Prompts!$A$2:$A$200,0)),1,0)</f>
        <v>0</v>
      </c>
      <c r="L103" s="3" t="n">
        <f aca="false">IF(AND(G103&gt;Settings!$B$4,OR(D103="",D103&lt;=Settings!$B$4)),1,0)</f>
        <v>0</v>
      </c>
      <c r="M103" s="3" t="n">
        <v>4.18</v>
      </c>
      <c r="N103" s="3" t="n">
        <v>115</v>
      </c>
      <c r="O103" s="3" t="n">
        <v>182</v>
      </c>
      <c r="P103" s="14" t="n">
        <v>0.000161</v>
      </c>
      <c r="Q103" s="3" t="s">
        <v>162</v>
      </c>
      <c r="R103" s="3"/>
    </row>
    <row r="104" customFormat="false" ht="15" hidden="false" customHeight="false" outlineLevel="0" collapsed="false">
      <c r="A104" s="3" t="s">
        <v>15</v>
      </c>
      <c r="B104" s="3" t="n">
        <v>7</v>
      </c>
      <c r="C104" s="3" t="s">
        <v>131</v>
      </c>
      <c r="D104" s="3" t="n">
        <v>1</v>
      </c>
      <c r="E104" s="3" t="s">
        <v>49</v>
      </c>
      <c r="F104" s="3" t="str">
        <f aca="false">IF(D104="","none",IF(D104&lt;=Settings!$B$3,"simple",IF(D104&lt;=Settings!$B$4,"coding","critical")))</f>
        <v>simple</v>
      </c>
      <c r="G104" s="3" t="n">
        <f aca="false">INDEX(Prompts!$D$2:$D$200,MATCH($B104,Prompts!$A$2:$A$200,0))</f>
        <v>1</v>
      </c>
      <c r="H104" s="3" t="n">
        <f aca="false">INDEX(Prompts!$E$2:$E$200,MATCH($B104,Prompts!$A$2:$A$200,0))</f>
        <v>3</v>
      </c>
      <c r="I104" s="3" t="n">
        <f aca="false">IF(D104="",0,IF(OR(F104=IF(G104&lt;=Settings!$B$3,"simple",IF(G104&lt;=Settings!$B$4,"coding","critical")),F104=IF(H104&lt;=Settings!$B$3,"simple",IF(H104&lt;=Settings!$B$4,"coding","critical"))),1,0))</f>
        <v>1</v>
      </c>
      <c r="J104" s="3" t="n">
        <f aca="false">IF(D104="",0,IF(AND(D104&gt;=G104,D104&lt;=H104),1,0))</f>
        <v>1</v>
      </c>
      <c r="K104" s="3" t="n">
        <f aca="false">IF(E104=INDEX(Prompts!$F$2:$F$200,MATCH($B104,Prompts!$A$2:$A$200,0)),1,0)</f>
        <v>1</v>
      </c>
      <c r="L104" s="3" t="n">
        <f aca="false">IF(AND(G104&gt;Settings!$B$4,OR(D104="",D104&lt;=Settings!$B$4)),1,0)</f>
        <v>0</v>
      </c>
      <c r="M104" s="3" t="n">
        <v>3.42</v>
      </c>
      <c r="N104" s="3" t="n">
        <v>116</v>
      </c>
      <c r="O104" s="3" t="n">
        <v>82</v>
      </c>
      <c r="P104" s="14" t="n">
        <v>0.000112</v>
      </c>
      <c r="Q104" s="3" t="s">
        <v>162</v>
      </c>
      <c r="R104" s="3"/>
    </row>
    <row r="105" customFormat="false" ht="15" hidden="false" customHeight="false" outlineLevel="0" collapsed="false">
      <c r="A105" s="3" t="s">
        <v>15</v>
      </c>
      <c r="B105" s="3" t="n">
        <v>8</v>
      </c>
      <c r="C105" s="3" t="s">
        <v>132</v>
      </c>
      <c r="D105" s="3" t="n">
        <v>3</v>
      </c>
      <c r="E105" s="3" t="s">
        <v>49</v>
      </c>
      <c r="F105" s="3" t="str">
        <f aca="false">IF(D105="","none",IF(D105&lt;=Settings!$B$3,"simple",IF(D105&lt;=Settings!$B$4,"coding","critical")))</f>
        <v>simple</v>
      </c>
      <c r="G105" s="3" t="n">
        <f aca="false">INDEX(Prompts!$D$2:$D$200,MATCH($B105,Prompts!$A$2:$A$200,0))</f>
        <v>2</v>
      </c>
      <c r="H105" s="3" t="n">
        <f aca="false">INDEX(Prompts!$E$2:$E$200,MATCH($B105,Prompts!$A$2:$A$200,0))</f>
        <v>3</v>
      </c>
      <c r="I105" s="3" t="n">
        <f aca="false">IF(D105="",0,IF(OR(F105=IF(G105&lt;=Settings!$B$3,"simple",IF(G105&lt;=Settings!$B$4,"coding","critical")),F105=IF(H105&lt;=Settings!$B$3,"simple",IF(H105&lt;=Settings!$B$4,"coding","critical"))),1,0))</f>
        <v>1</v>
      </c>
      <c r="J105" s="3" t="n">
        <f aca="false">IF(D105="",0,IF(AND(D105&gt;=G105,D105&lt;=H105),1,0))</f>
        <v>1</v>
      </c>
      <c r="K105" s="3" t="n">
        <f aca="false">IF(E105=INDEX(Prompts!$F$2:$F$200,MATCH($B105,Prompts!$A$2:$A$200,0)),1,0)</f>
        <v>1</v>
      </c>
      <c r="L105" s="3" t="n">
        <f aca="false">IF(AND(G105&gt;Settings!$B$4,OR(D105="",D105&lt;=Settings!$B$4)),1,0)</f>
        <v>0</v>
      </c>
      <c r="M105" s="3" t="n">
        <v>4.91</v>
      </c>
      <c r="N105" s="3" t="n">
        <v>119</v>
      </c>
      <c r="O105" s="3" t="n">
        <v>147</v>
      </c>
      <c r="P105" s="14" t="n">
        <v>0.000146</v>
      </c>
      <c r="Q105" s="3" t="s">
        <v>162</v>
      </c>
      <c r="R105" s="3"/>
    </row>
    <row r="106" customFormat="false" ht="15" hidden="false" customHeight="false" outlineLevel="0" collapsed="false">
      <c r="A106" s="3" t="s">
        <v>15</v>
      </c>
      <c r="B106" s="3" t="n">
        <v>9</v>
      </c>
      <c r="C106" s="3" t="s">
        <v>132</v>
      </c>
      <c r="D106" s="3" t="n">
        <v>3</v>
      </c>
      <c r="E106" s="3" t="s">
        <v>49</v>
      </c>
      <c r="F106" s="3" t="str">
        <f aca="false">IF(D106="","none",IF(D106&lt;=Settings!$B$3,"simple",IF(D106&lt;=Settings!$B$4,"coding","critical")))</f>
        <v>simple</v>
      </c>
      <c r="G106" s="3" t="n">
        <f aca="false">INDEX(Prompts!$D$2:$D$200,MATCH($B106,Prompts!$A$2:$A$200,0))</f>
        <v>2</v>
      </c>
      <c r="H106" s="3" t="n">
        <f aca="false">INDEX(Prompts!$E$2:$E$200,MATCH($B106,Prompts!$A$2:$A$200,0))</f>
        <v>3</v>
      </c>
      <c r="I106" s="3" t="n">
        <f aca="false">IF(D106="",0,IF(OR(F106=IF(G106&lt;=Settings!$B$3,"simple",IF(G106&lt;=Settings!$B$4,"coding","critical")),F106=IF(H106&lt;=Settings!$B$3,"simple",IF(H106&lt;=Settings!$B$4,"coding","critical"))),1,0))</f>
        <v>1</v>
      </c>
      <c r="J106" s="3" t="n">
        <f aca="false">IF(D106="",0,IF(AND(D106&gt;=G106,D106&lt;=H106),1,0))</f>
        <v>1</v>
      </c>
      <c r="K106" s="3" t="n">
        <f aca="false">IF(E106=INDEX(Prompts!$F$2:$F$200,MATCH($B106,Prompts!$A$2:$A$200,0)),1,0)</f>
        <v>1</v>
      </c>
      <c r="L106" s="3" t="n">
        <f aca="false">IF(AND(G106&gt;Settings!$B$4,OR(D106="",D106&lt;=Settings!$B$4)),1,0)</f>
        <v>0</v>
      </c>
      <c r="M106" s="3" t="n">
        <v>4.2</v>
      </c>
      <c r="N106" s="3" t="n">
        <v>118</v>
      </c>
      <c r="O106" s="3" t="n">
        <v>133</v>
      </c>
      <c r="P106" s="14" t="n">
        <v>0.000138</v>
      </c>
      <c r="Q106" s="3" t="s">
        <v>162</v>
      </c>
      <c r="R106" s="3"/>
    </row>
    <row r="107" customFormat="false" ht="15" hidden="false" customHeight="false" outlineLevel="0" collapsed="false">
      <c r="A107" s="3" t="s">
        <v>15</v>
      </c>
      <c r="B107" s="3" t="n">
        <v>10</v>
      </c>
      <c r="C107" s="3" t="s">
        <v>132</v>
      </c>
      <c r="D107" s="3" t="n">
        <v>3</v>
      </c>
      <c r="E107" s="3" t="s">
        <v>49</v>
      </c>
      <c r="F107" s="3" t="str">
        <f aca="false">IF(D107="","none",IF(D107&lt;=Settings!$B$3,"simple",IF(D107&lt;=Settings!$B$4,"coding","critical")))</f>
        <v>simple</v>
      </c>
      <c r="G107" s="3" t="n">
        <f aca="false">INDEX(Prompts!$D$2:$D$200,MATCH($B107,Prompts!$A$2:$A$200,0))</f>
        <v>2</v>
      </c>
      <c r="H107" s="3" t="n">
        <f aca="false">INDEX(Prompts!$E$2:$E$200,MATCH($B107,Prompts!$A$2:$A$200,0))</f>
        <v>3</v>
      </c>
      <c r="I107" s="3" t="n">
        <f aca="false">IF(D107="",0,IF(OR(F107=IF(G107&lt;=Settings!$B$3,"simple",IF(G107&lt;=Settings!$B$4,"coding","critical")),F107=IF(H107&lt;=Settings!$B$3,"simple",IF(H107&lt;=Settings!$B$4,"coding","critical"))),1,0))</f>
        <v>1</v>
      </c>
      <c r="J107" s="3" t="n">
        <f aca="false">IF(D107="",0,IF(AND(D107&gt;=G107,D107&lt;=H107),1,0))</f>
        <v>1</v>
      </c>
      <c r="K107" s="3" t="n">
        <f aca="false">IF(E107=INDEX(Prompts!$F$2:$F$200,MATCH($B107,Prompts!$A$2:$A$200,0)),1,0)</f>
        <v>1</v>
      </c>
      <c r="L107" s="3" t="n">
        <f aca="false">IF(AND(G107&gt;Settings!$B$4,OR(D107="",D107&lt;=Settings!$B$4)),1,0)</f>
        <v>0</v>
      </c>
      <c r="M107" s="3" t="n">
        <v>5.95</v>
      </c>
      <c r="N107" s="3" t="n">
        <v>115</v>
      </c>
      <c r="O107" s="3" t="n">
        <v>326</v>
      </c>
      <c r="P107" s="14" t="n">
        <v>0.000233</v>
      </c>
      <c r="Q107" s="3" t="s">
        <v>162</v>
      </c>
      <c r="R107" s="3"/>
    </row>
    <row r="108" customFormat="false" ht="15" hidden="false" customHeight="false" outlineLevel="0" collapsed="false">
      <c r="A108" s="3" t="s">
        <v>15</v>
      </c>
      <c r="B108" s="3" t="n">
        <v>11</v>
      </c>
      <c r="C108" s="3" t="s">
        <v>127</v>
      </c>
      <c r="D108" s="3" t="n">
        <v>1</v>
      </c>
      <c r="E108" s="3" t="s">
        <v>69</v>
      </c>
      <c r="F108" s="3" t="str">
        <f aca="false">IF(D108="","none",IF(D108&lt;=Settings!$B$3,"simple",IF(D108&lt;=Settings!$B$4,"coding","critical")))</f>
        <v>simple</v>
      </c>
      <c r="G108" s="3" t="n">
        <f aca="false">INDEX(Prompts!$D$2:$D$200,MATCH($B108,Prompts!$A$2:$A$200,0))</f>
        <v>1</v>
      </c>
      <c r="H108" s="3" t="n">
        <f aca="false">INDEX(Prompts!$E$2:$E$200,MATCH($B108,Prompts!$A$2:$A$200,0))</f>
        <v>3</v>
      </c>
      <c r="I108" s="3" t="n">
        <f aca="false">IF(D108="",0,IF(OR(F108=IF(G108&lt;=Settings!$B$3,"simple",IF(G108&lt;=Settings!$B$4,"coding","critical")),F108=IF(H108&lt;=Settings!$B$3,"simple",IF(H108&lt;=Settings!$B$4,"coding","critical"))),1,0))</f>
        <v>1</v>
      </c>
      <c r="J108" s="3" t="n">
        <f aca="false">IF(D108="",0,IF(AND(D108&gt;=G108,D108&lt;=H108),1,0))</f>
        <v>1</v>
      </c>
      <c r="K108" s="3" t="n">
        <f aca="false">IF(E108=INDEX(Prompts!$F$2:$F$200,MATCH($B108,Prompts!$A$2:$A$200,0)),1,0)</f>
        <v>1</v>
      </c>
      <c r="L108" s="3" t="n">
        <f aca="false">IF(AND(G108&gt;Settings!$B$4,OR(D108="",D108&lt;=Settings!$B$4)),1,0)</f>
        <v>0</v>
      </c>
      <c r="M108" s="3" t="n">
        <v>3.94</v>
      </c>
      <c r="N108" s="3" t="n">
        <v>114</v>
      </c>
      <c r="O108" s="3" t="n">
        <v>175</v>
      </c>
      <c r="P108" s="14" t="n">
        <v>0.000157</v>
      </c>
      <c r="Q108" s="3" t="s">
        <v>162</v>
      </c>
      <c r="R108" s="3"/>
    </row>
    <row r="109" customFormat="false" ht="15" hidden="false" customHeight="false" outlineLevel="0" collapsed="false">
      <c r="A109" s="3" t="s">
        <v>15</v>
      </c>
      <c r="B109" s="3" t="n">
        <v>12</v>
      </c>
      <c r="C109" s="3" t="s">
        <v>134</v>
      </c>
      <c r="D109" s="3" t="n">
        <v>3</v>
      </c>
      <c r="E109" s="3" t="s">
        <v>69</v>
      </c>
      <c r="F109" s="3" t="str">
        <f aca="false">IF(D109="","none",IF(D109&lt;=Settings!$B$3,"simple",IF(D109&lt;=Settings!$B$4,"coding","critical")))</f>
        <v>simple</v>
      </c>
      <c r="G109" s="3" t="n">
        <f aca="false">INDEX(Prompts!$D$2:$D$200,MATCH($B109,Prompts!$A$2:$A$200,0))</f>
        <v>2</v>
      </c>
      <c r="H109" s="3" t="n">
        <f aca="false">INDEX(Prompts!$E$2:$E$200,MATCH($B109,Prompts!$A$2:$A$200,0))</f>
        <v>4</v>
      </c>
      <c r="I109" s="3" t="n">
        <f aca="false">IF(D109="",0,IF(OR(F109=IF(G109&lt;=Settings!$B$3,"simple",IF(G109&lt;=Settings!$B$4,"coding","critical")),F109=IF(H109&lt;=Settings!$B$3,"simple",IF(H109&lt;=Settings!$B$4,"coding","critical"))),1,0))</f>
        <v>1</v>
      </c>
      <c r="J109" s="3" t="n">
        <f aca="false">IF(D109="",0,IF(AND(D109&gt;=G109,D109&lt;=H109),1,0))</f>
        <v>1</v>
      </c>
      <c r="K109" s="3" t="n">
        <f aca="false">IF(E109=INDEX(Prompts!$F$2:$F$200,MATCH($B109,Prompts!$A$2:$A$200,0)),1,0)</f>
        <v>1</v>
      </c>
      <c r="L109" s="3" t="n">
        <f aca="false">IF(AND(G109&gt;Settings!$B$4,OR(D109="",D109&lt;=Settings!$B$4)),1,0)</f>
        <v>0</v>
      </c>
      <c r="M109" s="3" t="n">
        <v>5.5</v>
      </c>
      <c r="N109" s="3" t="n">
        <v>117</v>
      </c>
      <c r="O109" s="3" t="n">
        <v>221</v>
      </c>
      <c r="P109" s="14" t="n">
        <v>0.000182</v>
      </c>
      <c r="Q109" s="3" t="s">
        <v>162</v>
      </c>
      <c r="R109" s="3"/>
    </row>
    <row r="110" customFormat="false" ht="15" hidden="false" customHeight="false" outlineLevel="0" collapsed="false">
      <c r="A110" s="3" t="s">
        <v>15</v>
      </c>
      <c r="B110" s="3" t="n">
        <v>13</v>
      </c>
      <c r="C110" s="3" t="s">
        <v>132</v>
      </c>
      <c r="D110" s="3" t="n">
        <v>3</v>
      </c>
      <c r="E110" s="3" t="s">
        <v>49</v>
      </c>
      <c r="F110" s="3" t="str">
        <f aca="false">IF(D110="","none",IF(D110&lt;=Settings!$B$3,"simple",IF(D110&lt;=Settings!$B$4,"coding","critical")))</f>
        <v>simple</v>
      </c>
      <c r="G110" s="3" t="n">
        <f aca="false">INDEX(Prompts!$D$2:$D$200,MATCH($B110,Prompts!$A$2:$A$200,0))</f>
        <v>3</v>
      </c>
      <c r="H110" s="3" t="n">
        <f aca="false">INDEX(Prompts!$E$2:$E$200,MATCH($B110,Prompts!$A$2:$A$200,0))</f>
        <v>4</v>
      </c>
      <c r="I110" s="3" t="n">
        <f aca="false">IF(D110="",0,IF(OR(F110=IF(G110&lt;=Settings!$B$3,"simple",IF(G110&lt;=Settings!$B$4,"coding","critical")),F110=IF(H110&lt;=Settings!$B$3,"simple",IF(H110&lt;=Settings!$B$4,"coding","critical"))),1,0))</f>
        <v>1</v>
      </c>
      <c r="J110" s="3" t="n">
        <f aca="false">IF(D110="",0,IF(AND(D110&gt;=G110,D110&lt;=H110),1,0))</f>
        <v>1</v>
      </c>
      <c r="K110" s="3" t="n">
        <f aca="false">IF(E110=INDEX(Prompts!$F$2:$F$200,MATCH($B110,Prompts!$A$2:$A$200,0)),1,0)</f>
        <v>1</v>
      </c>
      <c r="L110" s="3" t="n">
        <f aca="false">IF(AND(G110&gt;Settings!$B$4,OR(D110="",D110&lt;=Settings!$B$4)),1,0)</f>
        <v>0</v>
      </c>
      <c r="M110" s="3" t="n">
        <v>4.06</v>
      </c>
      <c r="N110" s="3" t="n">
        <v>119</v>
      </c>
      <c r="O110" s="3" t="n">
        <v>126</v>
      </c>
      <c r="P110" s="14" t="n">
        <v>0.000135</v>
      </c>
      <c r="Q110" s="3" t="s">
        <v>162</v>
      </c>
      <c r="R110" s="3"/>
    </row>
    <row r="111" customFormat="false" ht="15" hidden="false" customHeight="false" outlineLevel="0" collapsed="false">
      <c r="A111" s="3" t="s">
        <v>15</v>
      </c>
      <c r="B111" s="3" t="n">
        <v>14</v>
      </c>
      <c r="C111" s="3" t="s">
        <v>130</v>
      </c>
      <c r="D111" s="3" t="n">
        <v>2</v>
      </c>
      <c r="E111" s="3" t="s">
        <v>53</v>
      </c>
      <c r="F111" s="3" t="str">
        <f aca="false">IF(D111="","none",IF(D111&lt;=Settings!$B$3,"simple",IF(D111&lt;=Settings!$B$4,"coding","critical")))</f>
        <v>simple</v>
      </c>
      <c r="G111" s="3" t="n">
        <f aca="false">INDEX(Prompts!$D$2:$D$200,MATCH($B111,Prompts!$A$2:$A$200,0))</f>
        <v>2</v>
      </c>
      <c r="H111" s="3" t="n">
        <f aca="false">INDEX(Prompts!$E$2:$E$200,MATCH($B111,Prompts!$A$2:$A$200,0))</f>
        <v>4</v>
      </c>
      <c r="I111" s="3" t="n">
        <f aca="false">IF(D111="",0,IF(OR(F111=IF(G111&lt;=Settings!$B$3,"simple",IF(G111&lt;=Settings!$B$4,"coding","critical")),F111=IF(H111&lt;=Settings!$B$3,"simple",IF(H111&lt;=Settings!$B$4,"coding","critical"))),1,0))</f>
        <v>1</v>
      </c>
      <c r="J111" s="3" t="n">
        <f aca="false">IF(D111="",0,IF(AND(D111&gt;=G111,D111&lt;=H111),1,0))</f>
        <v>1</v>
      </c>
      <c r="K111" s="3" t="n">
        <f aca="false">IF(E111=INDEX(Prompts!$F$2:$F$200,MATCH($B111,Prompts!$A$2:$A$200,0)),1,0)</f>
        <v>1</v>
      </c>
      <c r="L111" s="3" t="n">
        <f aca="false">IF(AND(G111&gt;Settings!$B$4,OR(D111="",D111&lt;=Settings!$B$4)),1,0)</f>
        <v>0</v>
      </c>
      <c r="M111" s="3" t="n">
        <v>5.75</v>
      </c>
      <c r="N111" s="3" t="n">
        <v>118</v>
      </c>
      <c r="O111" s="3" t="n">
        <v>287</v>
      </c>
      <c r="P111" s="14" t="n">
        <v>0.000215</v>
      </c>
      <c r="Q111" s="3" t="s">
        <v>162</v>
      </c>
      <c r="R111" s="3"/>
    </row>
    <row r="112" customFormat="false" ht="15" hidden="false" customHeight="false" outlineLevel="0" collapsed="false">
      <c r="A112" s="3" t="s">
        <v>15</v>
      </c>
      <c r="B112" s="3" t="n">
        <v>15</v>
      </c>
      <c r="C112" s="3" t="s">
        <v>163</v>
      </c>
      <c r="D112" s="3" t="n">
        <v>1</v>
      </c>
      <c r="E112" s="3" t="s">
        <v>49</v>
      </c>
      <c r="F112" s="3" t="str">
        <f aca="false">IF(D112="","none",IF(D112&lt;=Settings!$B$3,"simple",IF(D112&lt;=Settings!$B$4,"coding","critical")))</f>
        <v>simple</v>
      </c>
      <c r="G112" s="3" t="n">
        <f aca="false">INDEX(Prompts!$D$2:$D$200,MATCH($B112,Prompts!$A$2:$A$200,0))</f>
        <v>3</v>
      </c>
      <c r="H112" s="3" t="n">
        <f aca="false">INDEX(Prompts!$E$2:$E$200,MATCH($B112,Prompts!$A$2:$A$200,0))</f>
        <v>5</v>
      </c>
      <c r="I112" s="3" t="n">
        <f aca="false">IF(D112="",0,IF(OR(F112=IF(G112&lt;=Settings!$B$3,"simple",IF(G112&lt;=Settings!$B$4,"coding","critical")),F112=IF(H112&lt;=Settings!$B$3,"simple",IF(H112&lt;=Settings!$B$4,"coding","critical"))),1,0))</f>
        <v>1</v>
      </c>
      <c r="J112" s="3" t="n">
        <f aca="false">IF(D112="",0,IF(AND(D112&gt;=G112,D112&lt;=H112),1,0))</f>
        <v>0</v>
      </c>
      <c r="K112" s="3" t="n">
        <f aca="false">IF(E112=INDEX(Prompts!$F$2:$F$200,MATCH($B112,Prompts!$A$2:$A$200,0)),1,0)</f>
        <v>1</v>
      </c>
      <c r="L112" s="3" t="n">
        <f aca="false">IF(AND(G112&gt;Settings!$B$4,OR(D112="",D112&lt;=Settings!$B$4)),1,0)</f>
        <v>0</v>
      </c>
      <c r="M112" s="3" t="n">
        <v>7.67</v>
      </c>
      <c r="N112" s="3" t="n">
        <v>124</v>
      </c>
      <c r="O112" s="3" t="n">
        <v>400</v>
      </c>
      <c r="P112" s="14" t="n">
        <v>0.000275</v>
      </c>
      <c r="Q112" s="3" t="s">
        <v>162</v>
      </c>
      <c r="R112" s="3"/>
    </row>
    <row r="113" customFormat="false" ht="15" hidden="false" customHeight="false" outlineLevel="0" collapsed="false">
      <c r="A113" s="3" t="s">
        <v>15</v>
      </c>
      <c r="B113" s="3" t="n">
        <v>16</v>
      </c>
      <c r="C113" s="3" t="s">
        <v>132</v>
      </c>
      <c r="D113" s="3" t="n">
        <v>3</v>
      </c>
      <c r="E113" s="3" t="s">
        <v>49</v>
      </c>
      <c r="F113" s="3" t="str">
        <f aca="false">IF(D113="","none",IF(D113&lt;=Settings!$B$3,"simple",IF(D113&lt;=Settings!$B$4,"coding","critical")))</f>
        <v>simple</v>
      </c>
      <c r="G113" s="3" t="n">
        <f aca="false">INDEX(Prompts!$D$2:$D$200,MATCH($B113,Prompts!$A$2:$A$200,0))</f>
        <v>3</v>
      </c>
      <c r="H113" s="3" t="n">
        <f aca="false">INDEX(Prompts!$E$2:$E$200,MATCH($B113,Prompts!$A$2:$A$200,0))</f>
        <v>5</v>
      </c>
      <c r="I113" s="3" t="n">
        <f aca="false">IF(D113="",0,IF(OR(F113=IF(G113&lt;=Settings!$B$3,"simple",IF(G113&lt;=Settings!$B$4,"coding","critical")),F113=IF(H113&lt;=Settings!$B$3,"simple",IF(H113&lt;=Settings!$B$4,"coding","critical"))),1,0))</f>
        <v>1</v>
      </c>
      <c r="J113" s="3" t="n">
        <f aca="false">IF(D113="",0,IF(AND(D113&gt;=G113,D113&lt;=H113),1,0))</f>
        <v>1</v>
      </c>
      <c r="K113" s="3" t="n">
        <f aca="false">IF(E113=INDEX(Prompts!$F$2:$F$200,MATCH($B113,Prompts!$A$2:$A$200,0)),1,0)</f>
        <v>1</v>
      </c>
      <c r="L113" s="3" t="n">
        <f aca="false">IF(AND(G113&gt;Settings!$B$4,OR(D113="",D113&lt;=Settings!$B$4)),1,0)</f>
        <v>0</v>
      </c>
      <c r="M113" s="3" t="n">
        <v>7.68</v>
      </c>
      <c r="N113" s="3" t="n">
        <v>126</v>
      </c>
      <c r="O113" s="3" t="n">
        <v>367</v>
      </c>
      <c r="P113" s="14" t="n">
        <v>0.000259</v>
      </c>
      <c r="Q113" s="3" t="s">
        <v>162</v>
      </c>
      <c r="R113" s="3"/>
    </row>
    <row r="114" customFormat="false" ht="15" hidden="false" customHeight="false" outlineLevel="0" collapsed="false">
      <c r="A114" s="3" t="s">
        <v>15</v>
      </c>
      <c r="B114" s="3" t="n">
        <v>17</v>
      </c>
      <c r="C114" s="3" t="s">
        <v>132</v>
      </c>
      <c r="D114" s="3" t="n">
        <v>3</v>
      </c>
      <c r="E114" s="3" t="s">
        <v>49</v>
      </c>
      <c r="F114" s="3" t="str">
        <f aca="false">IF(D114="","none",IF(D114&lt;=Settings!$B$3,"simple",IF(D114&lt;=Settings!$B$4,"coding","critical")))</f>
        <v>simple</v>
      </c>
      <c r="G114" s="3" t="n">
        <f aca="false">INDEX(Prompts!$D$2:$D$200,MATCH($B114,Prompts!$A$2:$A$200,0))</f>
        <v>3</v>
      </c>
      <c r="H114" s="3" t="n">
        <f aca="false">INDEX(Prompts!$E$2:$E$200,MATCH($B114,Prompts!$A$2:$A$200,0))</f>
        <v>5</v>
      </c>
      <c r="I114" s="3" t="n">
        <f aca="false">IF(D114="",0,IF(OR(F114=IF(G114&lt;=Settings!$B$3,"simple",IF(G114&lt;=Settings!$B$4,"coding","critical")),F114=IF(H114&lt;=Settings!$B$3,"simple",IF(H114&lt;=Settings!$B$4,"coding","critical"))),1,0))</f>
        <v>1</v>
      </c>
      <c r="J114" s="3" t="n">
        <f aca="false">IF(D114="",0,IF(AND(D114&gt;=G114,D114&lt;=H114),1,0))</f>
        <v>1</v>
      </c>
      <c r="K114" s="3" t="n">
        <f aca="false">IF(E114=INDEX(Prompts!$F$2:$F$200,MATCH($B114,Prompts!$A$2:$A$200,0)),1,0)</f>
        <v>0</v>
      </c>
      <c r="L114" s="3" t="n">
        <f aca="false">IF(AND(G114&gt;Settings!$B$4,OR(D114="",D114&lt;=Settings!$B$4)),1,0)</f>
        <v>0</v>
      </c>
      <c r="M114" s="3" t="n">
        <v>4.34</v>
      </c>
      <c r="N114" s="3" t="n">
        <v>121</v>
      </c>
      <c r="O114" s="3" t="n">
        <v>156</v>
      </c>
      <c r="P114" s="14" t="n">
        <v>0.000151</v>
      </c>
      <c r="Q114" s="3" t="s">
        <v>162</v>
      </c>
      <c r="R114" s="3"/>
    </row>
    <row r="115" customFormat="false" ht="15" hidden="false" customHeight="false" outlineLevel="0" collapsed="false">
      <c r="A115" s="3" t="s">
        <v>15</v>
      </c>
      <c r="B115" s="3" t="n">
        <v>18</v>
      </c>
      <c r="C115" s="3" t="s">
        <v>164</v>
      </c>
      <c r="D115" s="3" t="n">
        <v>1</v>
      </c>
      <c r="E115" s="3" t="s">
        <v>49</v>
      </c>
      <c r="F115" s="3" t="str">
        <f aca="false">IF(D115="","none",IF(D115&lt;=Settings!$B$3,"simple",IF(D115&lt;=Settings!$B$4,"coding","critical")))</f>
        <v>simple</v>
      </c>
      <c r="G115" s="3" t="n">
        <f aca="false">INDEX(Prompts!$D$2:$D$200,MATCH($B115,Prompts!$A$2:$A$200,0))</f>
        <v>4</v>
      </c>
      <c r="H115" s="3" t="n">
        <f aca="false">INDEX(Prompts!$E$2:$E$200,MATCH($B115,Prompts!$A$2:$A$200,0))</f>
        <v>6</v>
      </c>
      <c r="I115" s="3" t="n">
        <f aca="false">IF(D115="",0,IF(OR(F115=IF(G115&lt;=Settings!$B$3,"simple",IF(G115&lt;=Settings!$B$4,"coding","critical")),F115=IF(H115&lt;=Settings!$B$3,"simple",IF(H115&lt;=Settings!$B$4,"coding","critical"))),1,0))</f>
        <v>0</v>
      </c>
      <c r="J115" s="3" t="n">
        <f aca="false">IF(D115="",0,IF(AND(D115&gt;=G115,D115&lt;=H115),1,0))</f>
        <v>0</v>
      </c>
      <c r="K115" s="3" t="n">
        <f aca="false">IF(E115=INDEX(Prompts!$F$2:$F$200,MATCH($B115,Prompts!$A$2:$A$200,0)),1,0)</f>
        <v>1</v>
      </c>
      <c r="L115" s="3" t="n">
        <f aca="false">IF(AND(G115&gt;Settings!$B$4,OR(D115="",D115&lt;=Settings!$B$4)),1,0)</f>
        <v>0</v>
      </c>
      <c r="M115" s="3" t="n">
        <v>7.13</v>
      </c>
      <c r="N115" s="3" t="n">
        <v>129</v>
      </c>
      <c r="O115" s="3" t="n">
        <v>400</v>
      </c>
      <c r="P115" s="14" t="n">
        <v>0.000277</v>
      </c>
      <c r="Q115" s="3" t="s">
        <v>162</v>
      </c>
      <c r="R115" s="3"/>
    </row>
    <row r="116" customFormat="false" ht="15" hidden="false" customHeight="false" outlineLevel="0" collapsed="false">
      <c r="A116" s="3" t="s">
        <v>15</v>
      </c>
      <c r="B116" s="3" t="n">
        <v>19</v>
      </c>
      <c r="C116" s="3" t="s">
        <v>132</v>
      </c>
      <c r="D116" s="3" t="n">
        <v>3</v>
      </c>
      <c r="E116" s="3" t="s">
        <v>49</v>
      </c>
      <c r="F116" s="3" t="str">
        <f aca="false">IF(D116="","none",IF(D116&lt;=Settings!$B$3,"simple",IF(D116&lt;=Settings!$B$4,"coding","critical")))</f>
        <v>simple</v>
      </c>
      <c r="G116" s="3" t="n">
        <f aca="false">INDEX(Prompts!$D$2:$D$200,MATCH($B116,Prompts!$A$2:$A$200,0))</f>
        <v>4</v>
      </c>
      <c r="H116" s="3" t="n">
        <f aca="false">INDEX(Prompts!$E$2:$E$200,MATCH($B116,Prompts!$A$2:$A$200,0))</f>
        <v>6</v>
      </c>
      <c r="I116" s="3" t="n">
        <f aca="false">IF(D116="",0,IF(OR(F116=IF(G116&lt;=Settings!$B$3,"simple",IF(G116&lt;=Settings!$B$4,"coding","critical")),F116=IF(H116&lt;=Settings!$B$3,"simple",IF(H116&lt;=Settings!$B$4,"coding","critical"))),1,0))</f>
        <v>0</v>
      </c>
      <c r="J116" s="3" t="n">
        <f aca="false">IF(D116="",0,IF(AND(D116&gt;=G116,D116&lt;=H116),1,0))</f>
        <v>0</v>
      </c>
      <c r="K116" s="3" t="n">
        <f aca="false">IF(E116=INDEX(Prompts!$F$2:$F$200,MATCH($B116,Prompts!$A$2:$A$200,0)),1,0)</f>
        <v>1</v>
      </c>
      <c r="L116" s="3" t="n">
        <f aca="false">IF(AND(G116&gt;Settings!$B$4,OR(D116="",D116&lt;=Settings!$B$4)),1,0)</f>
        <v>0</v>
      </c>
      <c r="M116" s="3" t="n">
        <v>5.01</v>
      </c>
      <c r="N116" s="3" t="n">
        <v>124</v>
      </c>
      <c r="O116" s="3" t="n">
        <v>228</v>
      </c>
      <c r="P116" s="14" t="n">
        <v>0.000189</v>
      </c>
      <c r="Q116" s="3" t="s">
        <v>162</v>
      </c>
      <c r="R116" s="3"/>
    </row>
    <row r="117" customFormat="false" ht="15" hidden="false" customHeight="false" outlineLevel="0" collapsed="false">
      <c r="A117" s="3" t="s">
        <v>15</v>
      </c>
      <c r="B117" s="3" t="n">
        <v>20</v>
      </c>
      <c r="C117" s="3" t="s">
        <v>140</v>
      </c>
      <c r="D117" s="3" t="n">
        <v>6</v>
      </c>
      <c r="E117" s="3" t="s">
        <v>49</v>
      </c>
      <c r="F117" s="3" t="str">
        <f aca="false">IF(D117="","none",IF(D117&lt;=Settings!$B$3,"simple",IF(D117&lt;=Settings!$B$4,"coding","critical")))</f>
        <v>coding</v>
      </c>
      <c r="G117" s="3" t="n">
        <f aca="false">INDEX(Prompts!$D$2:$D$200,MATCH($B117,Prompts!$A$2:$A$200,0))</f>
        <v>4</v>
      </c>
      <c r="H117" s="3" t="n">
        <f aca="false">INDEX(Prompts!$E$2:$E$200,MATCH($B117,Prompts!$A$2:$A$200,0))</f>
        <v>6</v>
      </c>
      <c r="I117" s="3" t="n">
        <f aca="false">IF(D117="",0,IF(OR(F117=IF(G117&lt;=Settings!$B$3,"simple",IF(G117&lt;=Settings!$B$4,"coding","critical")),F117=IF(H117&lt;=Settings!$B$3,"simple",IF(H117&lt;=Settings!$B$4,"coding","critical"))),1,0))</f>
        <v>1</v>
      </c>
      <c r="J117" s="3" t="n">
        <f aca="false">IF(D117="",0,IF(AND(D117&gt;=G117,D117&lt;=H117),1,0))</f>
        <v>1</v>
      </c>
      <c r="K117" s="3" t="n">
        <f aca="false">IF(E117=INDEX(Prompts!$F$2:$F$200,MATCH($B117,Prompts!$A$2:$A$200,0)),1,0)</f>
        <v>1</v>
      </c>
      <c r="L117" s="3" t="n">
        <f aca="false">IF(AND(G117&gt;Settings!$B$4,OR(D117="",D117&lt;=Settings!$B$4)),1,0)</f>
        <v>0</v>
      </c>
      <c r="M117" s="3" t="n">
        <v>3.99</v>
      </c>
      <c r="N117" s="3" t="n">
        <v>121</v>
      </c>
      <c r="O117" s="3" t="n">
        <v>180</v>
      </c>
      <c r="P117" s="14" t="n">
        <v>0.000163</v>
      </c>
      <c r="Q117" s="3" t="s">
        <v>162</v>
      </c>
      <c r="R117" s="3"/>
    </row>
    <row r="118" customFormat="false" ht="15" hidden="false" customHeight="false" outlineLevel="0" collapsed="false">
      <c r="A118" s="3" t="s">
        <v>15</v>
      </c>
      <c r="B118" s="3" t="n">
        <v>21</v>
      </c>
      <c r="C118" s="3" t="s">
        <v>165</v>
      </c>
      <c r="D118" s="3" t="n">
        <v>1</v>
      </c>
      <c r="E118" s="3" t="s">
        <v>49</v>
      </c>
      <c r="F118" s="3" t="str">
        <f aca="false">IF(D118="","none",IF(D118&lt;=Settings!$B$3,"simple",IF(D118&lt;=Settings!$B$4,"coding","critical")))</f>
        <v>simple</v>
      </c>
      <c r="G118" s="3" t="n">
        <f aca="false">INDEX(Prompts!$D$2:$D$200,MATCH($B118,Prompts!$A$2:$A$200,0))</f>
        <v>3</v>
      </c>
      <c r="H118" s="3" t="n">
        <f aca="false">INDEX(Prompts!$E$2:$E$200,MATCH($B118,Prompts!$A$2:$A$200,0))</f>
        <v>5</v>
      </c>
      <c r="I118" s="3" t="n">
        <f aca="false">IF(D118="",0,IF(OR(F118=IF(G118&lt;=Settings!$B$3,"simple",IF(G118&lt;=Settings!$B$4,"coding","critical")),F118=IF(H118&lt;=Settings!$B$3,"simple",IF(H118&lt;=Settings!$B$4,"coding","critical"))),1,0))</f>
        <v>1</v>
      </c>
      <c r="J118" s="3" t="n">
        <f aca="false">IF(D118="",0,IF(AND(D118&gt;=G118,D118&lt;=H118),1,0))</f>
        <v>0</v>
      </c>
      <c r="K118" s="3" t="n">
        <f aca="false">IF(E118=INDEX(Prompts!$F$2:$F$200,MATCH($B118,Prompts!$A$2:$A$200,0)),1,0)</f>
        <v>0</v>
      </c>
      <c r="L118" s="3" t="n">
        <f aca="false">IF(AND(G118&gt;Settings!$B$4,OR(D118="",D118&lt;=Settings!$B$4)),1,0)</f>
        <v>0</v>
      </c>
      <c r="M118" s="3" t="n">
        <v>7.22</v>
      </c>
      <c r="N118" s="3" t="n">
        <v>118</v>
      </c>
      <c r="O118" s="3" t="n">
        <v>400</v>
      </c>
      <c r="P118" s="14" t="n">
        <v>0.000272</v>
      </c>
      <c r="Q118" s="3" t="s">
        <v>162</v>
      </c>
      <c r="R118" s="3"/>
    </row>
    <row r="119" customFormat="false" ht="15" hidden="false" customHeight="false" outlineLevel="0" collapsed="false">
      <c r="A119" s="3" t="s">
        <v>15</v>
      </c>
      <c r="B119" s="3" t="n">
        <v>22</v>
      </c>
      <c r="C119" s="3" t="s">
        <v>166</v>
      </c>
      <c r="D119" s="3" t="n">
        <v>1</v>
      </c>
      <c r="E119" s="3" t="s">
        <v>49</v>
      </c>
      <c r="F119" s="3" t="str">
        <f aca="false">IF(D119="","none",IF(D119&lt;=Settings!$B$3,"simple",IF(D119&lt;=Settings!$B$4,"coding","critical")))</f>
        <v>simple</v>
      </c>
      <c r="G119" s="3" t="n">
        <f aca="false">INDEX(Prompts!$D$2:$D$200,MATCH($B119,Prompts!$A$2:$A$200,0))</f>
        <v>4</v>
      </c>
      <c r="H119" s="3" t="n">
        <f aca="false">INDEX(Prompts!$E$2:$E$200,MATCH($B119,Prompts!$A$2:$A$200,0))</f>
        <v>6</v>
      </c>
      <c r="I119" s="3" t="n">
        <f aca="false">IF(D119="",0,IF(OR(F119=IF(G119&lt;=Settings!$B$3,"simple",IF(G119&lt;=Settings!$B$4,"coding","critical")),F119=IF(H119&lt;=Settings!$B$3,"simple",IF(H119&lt;=Settings!$B$4,"coding","critical"))),1,0))</f>
        <v>0</v>
      </c>
      <c r="J119" s="3" t="n">
        <f aca="false">IF(D119="",0,IF(AND(D119&gt;=G119,D119&lt;=H119),1,0))</f>
        <v>0</v>
      </c>
      <c r="K119" s="3" t="n">
        <f aca="false">IF(E119=INDEX(Prompts!$F$2:$F$200,MATCH($B119,Prompts!$A$2:$A$200,0)),1,0)</f>
        <v>0</v>
      </c>
      <c r="L119" s="3" t="n">
        <f aca="false">IF(AND(G119&gt;Settings!$B$4,OR(D119="",D119&lt;=Settings!$B$4)),1,0)</f>
        <v>0</v>
      </c>
      <c r="M119" s="3" t="n">
        <v>7.44</v>
      </c>
      <c r="N119" s="3" t="n">
        <v>119</v>
      </c>
      <c r="O119" s="3" t="n">
        <v>400</v>
      </c>
      <c r="P119" s="14" t="n">
        <v>0.000272</v>
      </c>
      <c r="Q119" s="3" t="s">
        <v>162</v>
      </c>
      <c r="R119" s="3"/>
    </row>
    <row r="120" customFormat="false" ht="15" hidden="false" customHeight="false" outlineLevel="0" collapsed="false">
      <c r="A120" s="3" t="s">
        <v>15</v>
      </c>
      <c r="B120" s="3" t="n">
        <v>23</v>
      </c>
      <c r="C120" s="3" t="s">
        <v>167</v>
      </c>
      <c r="D120" s="3" t="n">
        <v>1</v>
      </c>
      <c r="E120" s="3" t="s">
        <v>49</v>
      </c>
      <c r="F120" s="3" t="str">
        <f aca="false">IF(D120="","none",IF(D120&lt;=Settings!$B$3,"simple",IF(D120&lt;=Settings!$B$4,"coding","critical")))</f>
        <v>simple</v>
      </c>
      <c r="G120" s="3" t="n">
        <f aca="false">INDEX(Prompts!$D$2:$D$200,MATCH($B120,Prompts!$A$2:$A$200,0))</f>
        <v>5</v>
      </c>
      <c r="H120" s="3" t="n">
        <f aca="false">INDEX(Prompts!$E$2:$E$200,MATCH($B120,Prompts!$A$2:$A$200,0))</f>
        <v>6</v>
      </c>
      <c r="I120" s="3" t="n">
        <f aca="false">IF(D120="",0,IF(OR(F120=IF(G120&lt;=Settings!$B$3,"simple",IF(G120&lt;=Settings!$B$4,"coding","critical")),F120=IF(H120&lt;=Settings!$B$3,"simple",IF(H120&lt;=Settings!$B$4,"coding","critical"))),1,0))</f>
        <v>0</v>
      </c>
      <c r="J120" s="3" t="n">
        <f aca="false">IF(D120="",0,IF(AND(D120&gt;=G120,D120&lt;=H120),1,0))</f>
        <v>0</v>
      </c>
      <c r="K120" s="3" t="n">
        <f aca="false">IF(E120=INDEX(Prompts!$F$2:$F$200,MATCH($B120,Prompts!$A$2:$A$200,0)),1,0)</f>
        <v>1</v>
      </c>
      <c r="L120" s="3" t="n">
        <f aca="false">IF(AND(G120&gt;Settings!$B$4,OR(D120="",D120&lt;=Settings!$B$4)),1,0)</f>
        <v>0</v>
      </c>
      <c r="M120" s="3" t="n">
        <v>5.25</v>
      </c>
      <c r="N120" s="3" t="n">
        <v>126</v>
      </c>
      <c r="O120" s="3" t="n">
        <v>400</v>
      </c>
      <c r="P120" s="14" t="n">
        <v>0.000276</v>
      </c>
      <c r="Q120" s="3" t="s">
        <v>162</v>
      </c>
      <c r="R120" s="3"/>
    </row>
    <row r="121" customFormat="false" ht="15" hidden="false" customHeight="false" outlineLevel="0" collapsed="false">
      <c r="A121" s="3" t="s">
        <v>15</v>
      </c>
      <c r="B121" s="3" t="n">
        <v>24</v>
      </c>
      <c r="C121" s="3" t="s">
        <v>138</v>
      </c>
      <c r="D121" s="3" t="n">
        <v>5</v>
      </c>
      <c r="E121" s="3" t="s">
        <v>49</v>
      </c>
      <c r="F121" s="3" t="str">
        <f aca="false">IF(D121="","none",IF(D121&lt;=Settings!$B$3,"simple",IF(D121&lt;=Settings!$B$4,"coding","critical")))</f>
        <v>coding</v>
      </c>
      <c r="G121" s="3" t="n">
        <f aca="false">INDEX(Prompts!$D$2:$D$200,MATCH($B121,Prompts!$A$2:$A$200,0))</f>
        <v>5</v>
      </c>
      <c r="H121" s="3" t="n">
        <f aca="false">INDEX(Prompts!$E$2:$E$200,MATCH($B121,Prompts!$A$2:$A$200,0))</f>
        <v>7</v>
      </c>
      <c r="I121" s="3" t="n">
        <f aca="false">IF(D121="",0,IF(OR(F121=IF(G121&lt;=Settings!$B$3,"simple",IF(G121&lt;=Settings!$B$4,"coding","critical")),F121=IF(H121&lt;=Settings!$B$3,"simple",IF(H121&lt;=Settings!$B$4,"coding","critical"))),1,0))</f>
        <v>1</v>
      </c>
      <c r="J121" s="3" t="n">
        <f aca="false">IF(D121="",0,IF(AND(D121&gt;=G121,D121&lt;=H121),1,0))</f>
        <v>1</v>
      </c>
      <c r="K121" s="3" t="n">
        <f aca="false">IF(E121=INDEX(Prompts!$F$2:$F$200,MATCH($B121,Prompts!$A$2:$A$200,0)),1,0)</f>
        <v>1</v>
      </c>
      <c r="L121" s="3" t="n">
        <f aca="false">IF(AND(G121&gt;Settings!$B$4,OR(D121="",D121&lt;=Settings!$B$4)),1,0)</f>
        <v>0</v>
      </c>
      <c r="M121" s="3" t="n">
        <v>6.47</v>
      </c>
      <c r="N121" s="3" t="n">
        <v>122</v>
      </c>
      <c r="O121" s="3" t="n">
        <v>366</v>
      </c>
      <c r="P121" s="14" t="n">
        <v>0.000257</v>
      </c>
      <c r="Q121" s="3" t="s">
        <v>162</v>
      </c>
      <c r="R121" s="3"/>
    </row>
    <row r="122" customFormat="false" ht="15" hidden="false" customHeight="false" outlineLevel="0" collapsed="false">
      <c r="A122" s="3" t="s">
        <v>15</v>
      </c>
      <c r="B122" s="3" t="n">
        <v>25</v>
      </c>
      <c r="C122" s="3" t="s">
        <v>138</v>
      </c>
      <c r="D122" s="3" t="n">
        <v>5</v>
      </c>
      <c r="E122" s="3" t="s">
        <v>49</v>
      </c>
      <c r="F122" s="3" t="str">
        <f aca="false">IF(D122="","none",IF(D122&lt;=Settings!$B$3,"simple",IF(D122&lt;=Settings!$B$4,"coding","critical")))</f>
        <v>coding</v>
      </c>
      <c r="G122" s="3" t="n">
        <f aca="false">INDEX(Prompts!$D$2:$D$200,MATCH($B122,Prompts!$A$2:$A$200,0))</f>
        <v>5</v>
      </c>
      <c r="H122" s="3" t="n">
        <f aca="false">INDEX(Prompts!$E$2:$E$200,MATCH($B122,Prompts!$A$2:$A$200,0))</f>
        <v>7</v>
      </c>
      <c r="I122" s="3" t="n">
        <f aca="false">IF(D122="",0,IF(OR(F122=IF(G122&lt;=Settings!$B$3,"simple",IF(G122&lt;=Settings!$B$4,"coding","critical")),F122=IF(H122&lt;=Settings!$B$3,"simple",IF(H122&lt;=Settings!$B$4,"coding","critical"))),1,0))</f>
        <v>1</v>
      </c>
      <c r="J122" s="3" t="n">
        <f aca="false">IF(D122="",0,IF(AND(D122&gt;=G122,D122&lt;=H122),1,0))</f>
        <v>1</v>
      </c>
      <c r="K122" s="3" t="n">
        <f aca="false">IF(E122=INDEX(Prompts!$F$2:$F$200,MATCH($B122,Prompts!$A$2:$A$200,0)),1,0)</f>
        <v>1</v>
      </c>
      <c r="L122" s="3" t="n">
        <f aca="false">IF(AND(G122&gt;Settings!$B$4,OR(D122="",D122&lt;=Settings!$B$4)),1,0)</f>
        <v>0</v>
      </c>
      <c r="M122" s="3" t="n">
        <v>3.48</v>
      </c>
      <c r="N122" s="3" t="n">
        <v>130</v>
      </c>
      <c r="O122" s="3" t="n">
        <v>126</v>
      </c>
      <c r="P122" s="14" t="n">
        <v>0.000141</v>
      </c>
      <c r="Q122" s="3" t="s">
        <v>162</v>
      </c>
      <c r="R122" s="3"/>
    </row>
    <row r="123" customFormat="false" ht="15" hidden="false" customHeight="false" outlineLevel="0" collapsed="false">
      <c r="A123" s="3" t="s">
        <v>15</v>
      </c>
      <c r="B123" s="3" t="n">
        <v>26</v>
      </c>
      <c r="C123" s="3" t="s">
        <v>138</v>
      </c>
      <c r="D123" s="3" t="n">
        <v>5</v>
      </c>
      <c r="E123" s="3" t="s">
        <v>49</v>
      </c>
      <c r="F123" s="3" t="str">
        <f aca="false">IF(D123="","none",IF(D123&lt;=Settings!$B$3,"simple",IF(D123&lt;=Settings!$B$4,"coding","critical")))</f>
        <v>coding</v>
      </c>
      <c r="G123" s="3" t="n">
        <f aca="false">INDEX(Prompts!$D$2:$D$200,MATCH($B123,Prompts!$A$2:$A$200,0))</f>
        <v>5</v>
      </c>
      <c r="H123" s="3" t="n">
        <f aca="false">INDEX(Prompts!$E$2:$E$200,MATCH($B123,Prompts!$A$2:$A$200,0))</f>
        <v>6</v>
      </c>
      <c r="I123" s="3" t="n">
        <f aca="false">IF(D123="",0,IF(OR(F123=IF(G123&lt;=Settings!$B$3,"simple",IF(G123&lt;=Settings!$B$4,"coding","critical")),F123=IF(H123&lt;=Settings!$B$3,"simple",IF(H123&lt;=Settings!$B$4,"coding","critical"))),1,0))</f>
        <v>1</v>
      </c>
      <c r="J123" s="3" t="n">
        <f aca="false">IF(D123="",0,IF(AND(D123&gt;=G123,D123&lt;=H123),1,0))</f>
        <v>1</v>
      </c>
      <c r="K123" s="3" t="n">
        <f aca="false">IF(E123=INDEX(Prompts!$F$2:$F$200,MATCH($B123,Prompts!$A$2:$A$200,0)),1,0)</f>
        <v>1</v>
      </c>
      <c r="L123" s="3" t="n">
        <f aca="false">IF(AND(G123&gt;Settings!$B$4,OR(D123="",D123&lt;=Settings!$B$4)),1,0)</f>
        <v>0</v>
      </c>
      <c r="M123" s="3" t="n">
        <v>7.32</v>
      </c>
      <c r="N123" s="3" t="n">
        <v>117</v>
      </c>
      <c r="O123" s="3" t="n">
        <v>380</v>
      </c>
      <c r="P123" s="14" t="n">
        <v>0.000261</v>
      </c>
      <c r="Q123" s="3" t="s">
        <v>162</v>
      </c>
      <c r="R123" s="3"/>
    </row>
    <row r="124" customFormat="false" ht="15" hidden="false" customHeight="false" outlineLevel="0" collapsed="false">
      <c r="A124" s="3" t="s">
        <v>15</v>
      </c>
      <c r="B124" s="3" t="n">
        <v>27</v>
      </c>
      <c r="C124" s="3" t="s">
        <v>157</v>
      </c>
      <c r="D124" s="3" t="n">
        <v>7</v>
      </c>
      <c r="E124" s="3" t="s">
        <v>49</v>
      </c>
      <c r="F124" s="3" t="str">
        <f aca="false">IF(D124="","none",IF(D124&lt;=Settings!$B$3,"simple",IF(D124&lt;=Settings!$B$4,"coding","critical")))</f>
        <v>coding</v>
      </c>
      <c r="G124" s="3" t="n">
        <f aca="false">INDEX(Prompts!$D$2:$D$200,MATCH($B124,Prompts!$A$2:$A$200,0))</f>
        <v>7</v>
      </c>
      <c r="H124" s="3" t="n">
        <f aca="false">INDEX(Prompts!$E$2:$E$200,MATCH($B124,Prompts!$A$2:$A$200,0))</f>
        <v>9</v>
      </c>
      <c r="I124" s="3" t="n">
        <f aca="false">IF(D124="",0,IF(OR(F124=IF(G124&lt;=Settings!$B$3,"simple",IF(G124&lt;=Settings!$B$4,"coding","critical")),F124=IF(H124&lt;=Settings!$B$3,"simple",IF(H124&lt;=Settings!$B$4,"coding","critical"))),1,0))</f>
        <v>1</v>
      </c>
      <c r="J124" s="3" t="n">
        <f aca="false">IF(D124="",0,IF(AND(D124&gt;=G124,D124&lt;=H124),1,0))</f>
        <v>1</v>
      </c>
      <c r="K124" s="3" t="n">
        <f aca="false">IF(E124=INDEX(Prompts!$F$2:$F$200,MATCH($B124,Prompts!$A$2:$A$200,0)),1,0)</f>
        <v>1</v>
      </c>
      <c r="L124" s="3" t="n">
        <f aca="false">IF(AND(G124&gt;Settings!$B$4,OR(D124="",D124&lt;=Settings!$B$4)),1,0)</f>
        <v>0</v>
      </c>
      <c r="M124" s="3" t="n">
        <v>5.27</v>
      </c>
      <c r="N124" s="3" t="n">
        <v>122</v>
      </c>
      <c r="O124" s="3" t="n">
        <v>208</v>
      </c>
      <c r="P124" s="14" t="n">
        <v>0.000178</v>
      </c>
      <c r="Q124" s="3" t="s">
        <v>162</v>
      </c>
      <c r="R124" s="3"/>
    </row>
    <row r="125" customFormat="false" ht="15" hidden="false" customHeight="false" outlineLevel="0" collapsed="false">
      <c r="A125" s="3" t="s">
        <v>15</v>
      </c>
      <c r="B125" s="3" t="n">
        <v>28</v>
      </c>
      <c r="C125" s="3" t="s">
        <v>168</v>
      </c>
      <c r="D125" s="3" t="n">
        <v>1</v>
      </c>
      <c r="E125" s="3" t="s">
        <v>49</v>
      </c>
      <c r="F125" s="3" t="str">
        <f aca="false">IF(D125="","none",IF(D125&lt;=Settings!$B$3,"simple",IF(D125&lt;=Settings!$B$4,"coding","critical")))</f>
        <v>simple</v>
      </c>
      <c r="G125" s="3" t="n">
        <f aca="false">INDEX(Prompts!$D$2:$D$200,MATCH($B125,Prompts!$A$2:$A$200,0))</f>
        <v>7</v>
      </c>
      <c r="H125" s="3" t="n">
        <f aca="false">INDEX(Prompts!$E$2:$E$200,MATCH($B125,Prompts!$A$2:$A$200,0))</f>
        <v>9</v>
      </c>
      <c r="I125" s="3" t="n">
        <f aca="false">IF(D125="",0,IF(OR(F125=IF(G125&lt;=Settings!$B$3,"simple",IF(G125&lt;=Settings!$B$4,"coding","critical")),F125=IF(H125&lt;=Settings!$B$3,"simple",IF(H125&lt;=Settings!$B$4,"coding","critical"))),1,0))</f>
        <v>0</v>
      </c>
      <c r="J125" s="3" t="n">
        <f aca="false">IF(D125="",0,IF(AND(D125&gt;=G125,D125&lt;=H125),1,0))</f>
        <v>0</v>
      </c>
      <c r="K125" s="3" t="n">
        <f aca="false">IF(E125=INDEX(Prompts!$F$2:$F$200,MATCH($B125,Prompts!$A$2:$A$200,0)),1,0)</f>
        <v>0</v>
      </c>
      <c r="L125" s="3" t="n">
        <f aca="false">IF(AND(G125&gt;Settings!$B$4,OR(D125="",D125&lt;=Settings!$B$4)),1,0)</f>
        <v>0</v>
      </c>
      <c r="M125" s="3" t="n">
        <v>8.2</v>
      </c>
      <c r="N125" s="3" t="n">
        <v>129</v>
      </c>
      <c r="O125" s="3" t="n">
        <v>400</v>
      </c>
      <c r="P125" s="14" t="n">
        <v>0.000277</v>
      </c>
      <c r="Q125" s="3" t="s">
        <v>162</v>
      </c>
      <c r="R125" s="3"/>
    </row>
    <row r="126" customFormat="false" ht="15" hidden="false" customHeight="false" outlineLevel="0" collapsed="false">
      <c r="A126" s="3" t="s">
        <v>15</v>
      </c>
      <c r="B126" s="3" t="n">
        <v>29</v>
      </c>
      <c r="C126" s="3" t="s">
        <v>148</v>
      </c>
      <c r="D126" s="3" t="n">
        <v>9</v>
      </c>
      <c r="E126" s="3" t="s">
        <v>49</v>
      </c>
      <c r="F126" s="3" t="str">
        <f aca="false">IF(D126="","none",IF(D126&lt;=Settings!$B$3,"simple",IF(D126&lt;=Settings!$B$4,"coding","critical")))</f>
        <v>critical</v>
      </c>
      <c r="G126" s="3" t="n">
        <f aca="false">INDEX(Prompts!$D$2:$D$200,MATCH($B126,Prompts!$A$2:$A$200,0))</f>
        <v>8</v>
      </c>
      <c r="H126" s="3" t="n">
        <f aca="false">INDEX(Prompts!$E$2:$E$200,MATCH($B126,Prompts!$A$2:$A$200,0))</f>
        <v>10</v>
      </c>
      <c r="I126" s="3" t="n">
        <f aca="false">IF(D126="",0,IF(OR(F126=IF(G126&lt;=Settings!$B$3,"simple",IF(G126&lt;=Settings!$B$4,"coding","critical")),F126=IF(H126&lt;=Settings!$B$3,"simple",IF(H126&lt;=Settings!$B$4,"coding","critical"))),1,0))</f>
        <v>1</v>
      </c>
      <c r="J126" s="3" t="n">
        <f aca="false">IF(D126="",0,IF(AND(D126&gt;=G126,D126&lt;=H126),1,0))</f>
        <v>1</v>
      </c>
      <c r="K126" s="3" t="n">
        <f aca="false">IF(E126=INDEX(Prompts!$F$2:$F$200,MATCH($B126,Prompts!$A$2:$A$200,0)),1,0)</f>
        <v>1</v>
      </c>
      <c r="L126" s="3" t="n">
        <f aca="false">IF(AND(G126&gt;Settings!$B$4,OR(D126="",D126&lt;=Settings!$B$4)),1,0)</f>
        <v>0</v>
      </c>
      <c r="M126" s="3" t="n">
        <v>5.61</v>
      </c>
      <c r="N126" s="3" t="n">
        <v>128</v>
      </c>
      <c r="O126" s="3" t="n">
        <v>297</v>
      </c>
      <c r="P126" s="14" t="n">
        <v>0.000225</v>
      </c>
      <c r="Q126" s="3" t="s">
        <v>162</v>
      </c>
      <c r="R126" s="3"/>
    </row>
    <row r="127" customFormat="false" ht="15" hidden="false" customHeight="false" outlineLevel="0" collapsed="false">
      <c r="A127" s="3" t="s">
        <v>15</v>
      </c>
      <c r="B127" s="3" t="n">
        <v>30</v>
      </c>
      <c r="C127" s="3" t="s">
        <v>169</v>
      </c>
      <c r="D127" s="3" t="n">
        <v>1</v>
      </c>
      <c r="E127" s="3" t="s">
        <v>49</v>
      </c>
      <c r="F127" s="3" t="str">
        <f aca="false">IF(D127="","none",IF(D127&lt;=Settings!$B$3,"simple",IF(D127&lt;=Settings!$B$4,"coding","critical")))</f>
        <v>simple</v>
      </c>
      <c r="G127" s="3" t="n">
        <f aca="false">INDEX(Prompts!$D$2:$D$200,MATCH($B127,Prompts!$A$2:$A$200,0))</f>
        <v>9</v>
      </c>
      <c r="H127" s="3" t="n">
        <f aca="false">INDEX(Prompts!$E$2:$E$200,MATCH($B127,Prompts!$A$2:$A$200,0))</f>
        <v>10</v>
      </c>
      <c r="I127" s="3" t="n">
        <f aca="false">IF(D127="",0,IF(OR(F127=IF(G127&lt;=Settings!$B$3,"simple",IF(G127&lt;=Settings!$B$4,"coding","critical")),F127=IF(H127&lt;=Settings!$B$3,"simple",IF(H127&lt;=Settings!$B$4,"coding","critical"))),1,0))</f>
        <v>0</v>
      </c>
      <c r="J127" s="3" t="n">
        <f aca="false">IF(D127="",0,IF(AND(D127&gt;=G127,D127&lt;=H127),1,0))</f>
        <v>0</v>
      </c>
      <c r="K127" s="3" t="n">
        <f aca="false">IF(E127=INDEX(Prompts!$F$2:$F$200,MATCH($B127,Prompts!$A$2:$A$200,0)),1,0)</f>
        <v>1</v>
      </c>
      <c r="L127" s="3" t="n">
        <f aca="false">IF(AND(G127&gt;Settings!$B$4,OR(D127="",D127&lt;=Settings!$B$4)),1,0)</f>
        <v>1</v>
      </c>
      <c r="M127" s="3" t="n">
        <v>6.74</v>
      </c>
      <c r="N127" s="3" t="n">
        <v>121</v>
      </c>
      <c r="O127" s="3" t="n">
        <v>400</v>
      </c>
      <c r="P127" s="14" t="n">
        <v>0.000273</v>
      </c>
      <c r="Q127" s="3" t="s">
        <v>162</v>
      </c>
      <c r="R127" s="3"/>
    </row>
    <row r="128" customFormat="false" ht="15" hidden="false" customHeight="false" outlineLevel="0" collapsed="false">
      <c r="A128" s="3" t="s">
        <v>15</v>
      </c>
      <c r="B128" s="3" t="n">
        <v>31</v>
      </c>
      <c r="C128" s="3" t="s">
        <v>159</v>
      </c>
      <c r="D128" s="3" t="n">
        <v>10</v>
      </c>
      <c r="E128" s="3" t="s">
        <v>49</v>
      </c>
      <c r="F128" s="3" t="str">
        <f aca="false">IF(D128="","none",IF(D128&lt;=Settings!$B$3,"simple",IF(D128&lt;=Settings!$B$4,"coding","critical")))</f>
        <v>critical</v>
      </c>
      <c r="G128" s="3" t="n">
        <f aca="false">INDEX(Prompts!$D$2:$D$200,MATCH($B128,Prompts!$A$2:$A$200,0))</f>
        <v>9</v>
      </c>
      <c r="H128" s="3" t="n">
        <f aca="false">INDEX(Prompts!$E$2:$E$200,MATCH($B128,Prompts!$A$2:$A$200,0))</f>
        <v>10</v>
      </c>
      <c r="I128" s="3" t="n">
        <f aca="false">IF(D128="",0,IF(OR(F128=IF(G128&lt;=Settings!$B$3,"simple",IF(G128&lt;=Settings!$B$4,"coding","critical")),F128=IF(H128&lt;=Settings!$B$3,"simple",IF(H128&lt;=Settings!$B$4,"coding","critical"))),1,0))</f>
        <v>1</v>
      </c>
      <c r="J128" s="3" t="n">
        <f aca="false">IF(D128="",0,IF(AND(D128&gt;=G128,D128&lt;=H128),1,0))</f>
        <v>1</v>
      </c>
      <c r="K128" s="3" t="n">
        <f aca="false">IF(E128=INDEX(Prompts!$F$2:$F$200,MATCH($B128,Prompts!$A$2:$A$200,0)),1,0)</f>
        <v>0</v>
      </c>
      <c r="L128" s="3" t="n">
        <f aca="false">IF(AND(G128&gt;Settings!$B$4,OR(D128="",D128&lt;=Settings!$B$4)),1,0)</f>
        <v>0</v>
      </c>
      <c r="M128" s="3" t="n">
        <v>6.44</v>
      </c>
      <c r="N128" s="3" t="n">
        <v>124</v>
      </c>
      <c r="O128" s="3" t="n">
        <v>317</v>
      </c>
      <c r="P128" s="14" t="n">
        <v>0.000233</v>
      </c>
      <c r="Q128" s="3" t="s">
        <v>162</v>
      </c>
      <c r="R128" s="3"/>
    </row>
    <row r="129" customFormat="false" ht="15" hidden="false" customHeight="false" outlineLevel="0" collapsed="false">
      <c r="A129" s="3" t="s">
        <v>15</v>
      </c>
      <c r="B129" s="3" t="n">
        <v>32</v>
      </c>
      <c r="C129" s="3" t="s">
        <v>159</v>
      </c>
      <c r="D129" s="3" t="n">
        <v>10</v>
      </c>
      <c r="E129" s="3" t="s">
        <v>49</v>
      </c>
      <c r="F129" s="3" t="str">
        <f aca="false">IF(D129="","none",IF(D129&lt;=Settings!$B$3,"simple",IF(D129&lt;=Settings!$B$4,"coding","critical")))</f>
        <v>critical</v>
      </c>
      <c r="G129" s="3" t="n">
        <f aca="false">INDEX(Prompts!$D$2:$D$200,MATCH($B129,Prompts!$A$2:$A$200,0))</f>
        <v>9</v>
      </c>
      <c r="H129" s="3" t="n">
        <f aca="false">INDEX(Prompts!$E$2:$E$200,MATCH($B129,Prompts!$A$2:$A$200,0))</f>
        <v>10</v>
      </c>
      <c r="I129" s="3" t="n">
        <f aca="false">IF(D129="",0,IF(OR(F129=IF(G129&lt;=Settings!$B$3,"simple",IF(G129&lt;=Settings!$B$4,"coding","critical")),F129=IF(H129&lt;=Settings!$B$3,"simple",IF(H129&lt;=Settings!$B$4,"coding","critical"))),1,0))</f>
        <v>1</v>
      </c>
      <c r="J129" s="3" t="n">
        <f aca="false">IF(D129="",0,IF(AND(D129&gt;=G129,D129&lt;=H129),1,0))</f>
        <v>1</v>
      </c>
      <c r="K129" s="3" t="n">
        <f aca="false">IF(E129=INDEX(Prompts!$F$2:$F$200,MATCH($B129,Prompts!$A$2:$A$200,0)),1,0)</f>
        <v>1</v>
      </c>
      <c r="L129" s="3" t="n">
        <f aca="false">IF(AND(G129&gt;Settings!$B$4,OR(D129="",D129&lt;=Settings!$B$4)),1,0)</f>
        <v>0</v>
      </c>
      <c r="M129" s="3" t="n">
        <v>2.82</v>
      </c>
      <c r="N129" s="3" t="n">
        <v>141</v>
      </c>
      <c r="O129" s="3" t="n">
        <v>136</v>
      </c>
      <c r="P129" s="14" t="n">
        <v>0.000151</v>
      </c>
      <c r="Q129" s="3" t="s">
        <v>162</v>
      </c>
      <c r="R129" s="3"/>
    </row>
    <row r="130" customFormat="false" ht="15" hidden="false" customHeight="false" outlineLevel="0" collapsed="false">
      <c r="A130" s="3" t="s">
        <v>16</v>
      </c>
      <c r="B130" s="3" t="n">
        <v>1</v>
      </c>
      <c r="C130" s="3" t="s">
        <v>127</v>
      </c>
      <c r="D130" s="3" t="n">
        <v>1</v>
      </c>
      <c r="E130" s="3" t="s">
        <v>69</v>
      </c>
      <c r="F130" s="3" t="str">
        <f aca="false">IF(D130="","none",IF(D130&lt;=Settings!$B$3,"simple",IF(D130&lt;=Settings!$B$4,"coding","critical")))</f>
        <v>simple</v>
      </c>
      <c r="G130" s="3" t="n">
        <f aca="false">INDEX(Prompts!$D$2:$D$200,MATCH($B130,Prompts!$A$2:$A$200,0))</f>
        <v>1</v>
      </c>
      <c r="H130" s="3" t="n">
        <f aca="false">INDEX(Prompts!$E$2:$E$200,MATCH($B130,Prompts!$A$2:$A$200,0))</f>
        <v>2</v>
      </c>
      <c r="I130" s="3" t="n">
        <f aca="false">IF(D130="",0,IF(OR(F130=IF(G130&lt;=Settings!$B$3,"simple",IF(G130&lt;=Settings!$B$4,"coding","critical")),F130=IF(H130&lt;=Settings!$B$3,"simple",IF(H130&lt;=Settings!$B$4,"coding","critical"))),1,0))</f>
        <v>1</v>
      </c>
      <c r="J130" s="3" t="n">
        <f aca="false">IF(D130="",0,IF(AND(D130&gt;=G130,D130&lt;=H130),1,0))</f>
        <v>1</v>
      </c>
      <c r="K130" s="3" t="n">
        <f aca="false">IF(E130=INDEX(Prompts!$F$2:$F$200,MATCH($B130,Prompts!$A$2:$A$200,0)),1,0)</f>
        <v>0</v>
      </c>
      <c r="L130" s="3" t="n">
        <f aca="false">IF(AND(G130&gt;Settings!$B$4,OR(D130="",D130&lt;=Settings!$B$4)),1,0)</f>
        <v>0</v>
      </c>
      <c r="M130" s="3" t="n">
        <v>7.27</v>
      </c>
      <c r="N130" s="3" t="n">
        <v>295</v>
      </c>
      <c r="O130" s="3" t="n">
        <v>2</v>
      </c>
      <c r="P130" s="14" t="n">
        <v>0.000445</v>
      </c>
      <c r="Q130" s="3" t="s">
        <v>16</v>
      </c>
      <c r="R130" s="3"/>
    </row>
    <row r="131" customFormat="false" ht="15" hidden="false" customHeight="false" outlineLevel="0" collapsed="false">
      <c r="A131" s="3" t="s">
        <v>16</v>
      </c>
      <c r="B131" s="3" t="n">
        <v>2</v>
      </c>
      <c r="C131" s="3" t="s">
        <v>128</v>
      </c>
      <c r="D131" s="3" t="n">
        <v>1</v>
      </c>
      <c r="E131" s="3" t="s">
        <v>56</v>
      </c>
      <c r="F131" s="3" t="str">
        <f aca="false">IF(D131="","none",IF(D131&lt;=Settings!$B$3,"simple",IF(D131&lt;=Settings!$B$4,"coding","critical")))</f>
        <v>simple</v>
      </c>
      <c r="G131" s="3" t="n">
        <f aca="false">INDEX(Prompts!$D$2:$D$200,MATCH($B131,Prompts!$A$2:$A$200,0))</f>
        <v>1</v>
      </c>
      <c r="H131" s="3" t="n">
        <f aca="false">INDEX(Prompts!$E$2:$E$200,MATCH($B131,Prompts!$A$2:$A$200,0))</f>
        <v>2</v>
      </c>
      <c r="I131" s="3" t="n">
        <f aca="false">IF(D131="",0,IF(OR(F131=IF(G131&lt;=Settings!$B$3,"simple",IF(G131&lt;=Settings!$B$4,"coding","critical")),F131=IF(H131&lt;=Settings!$B$3,"simple",IF(H131&lt;=Settings!$B$4,"coding","critical"))),1,0))</f>
        <v>1</v>
      </c>
      <c r="J131" s="3" t="n">
        <f aca="false">IF(D131="",0,IF(AND(D131&gt;=G131,D131&lt;=H131),1,0))</f>
        <v>1</v>
      </c>
      <c r="K131" s="3" t="n">
        <f aca="false">IF(E131=INDEX(Prompts!$F$2:$F$200,MATCH($B131,Prompts!$A$2:$A$200,0)),1,0)</f>
        <v>0</v>
      </c>
      <c r="L131" s="3" t="n">
        <f aca="false">IF(AND(G131&gt;Settings!$B$4,OR(D131="",D131&lt;=Settings!$B$4)),1,0)</f>
        <v>0</v>
      </c>
      <c r="M131" s="3" t="n">
        <v>3.65</v>
      </c>
      <c r="N131" s="3" t="n">
        <v>300</v>
      </c>
      <c r="O131" s="3" t="n">
        <v>2</v>
      </c>
      <c r="P131" s="14" t="n">
        <v>0.000453</v>
      </c>
      <c r="Q131" s="3" t="s">
        <v>16</v>
      </c>
      <c r="R131" s="3"/>
    </row>
    <row r="132" customFormat="false" ht="15" hidden="false" customHeight="false" outlineLevel="0" collapsed="false">
      <c r="A132" s="3" t="s">
        <v>16</v>
      </c>
      <c r="B132" s="3" t="n">
        <v>3</v>
      </c>
      <c r="C132" s="3" t="s">
        <v>129</v>
      </c>
      <c r="D132" s="3" t="n">
        <v>1</v>
      </c>
      <c r="E132" s="3" t="s">
        <v>53</v>
      </c>
      <c r="F132" s="3" t="str">
        <f aca="false">IF(D132="","none",IF(D132&lt;=Settings!$B$3,"simple",IF(D132&lt;=Settings!$B$4,"coding","critical")))</f>
        <v>simple</v>
      </c>
      <c r="G132" s="3" t="n">
        <f aca="false">INDEX(Prompts!$D$2:$D$200,MATCH($B132,Prompts!$A$2:$A$200,0))</f>
        <v>1</v>
      </c>
      <c r="H132" s="3" t="n">
        <f aca="false">INDEX(Prompts!$E$2:$E$200,MATCH($B132,Prompts!$A$2:$A$200,0))</f>
        <v>2</v>
      </c>
      <c r="I132" s="3" t="n">
        <f aca="false">IF(D132="",0,IF(OR(F132=IF(G132&lt;=Settings!$B$3,"simple",IF(G132&lt;=Settings!$B$4,"coding","critical")),F132=IF(H132&lt;=Settings!$B$3,"simple",IF(H132&lt;=Settings!$B$4,"coding","critical"))),1,0))</f>
        <v>1</v>
      </c>
      <c r="J132" s="3" t="n">
        <f aca="false">IF(D132="",0,IF(AND(D132&gt;=G132,D132&lt;=H132),1,0))</f>
        <v>1</v>
      </c>
      <c r="K132" s="3" t="n">
        <f aca="false">IF(E132=INDEX(Prompts!$F$2:$F$200,MATCH($B132,Prompts!$A$2:$A$200,0)),1,0)</f>
        <v>1</v>
      </c>
      <c r="L132" s="3" t="n">
        <f aca="false">IF(AND(G132&gt;Settings!$B$4,OR(D132="",D132&lt;=Settings!$B$4)),1,0)</f>
        <v>0</v>
      </c>
      <c r="M132" s="3" t="n">
        <v>4.47</v>
      </c>
      <c r="N132" s="3" t="n">
        <v>298</v>
      </c>
      <c r="O132" s="3" t="n">
        <v>2</v>
      </c>
      <c r="P132" s="14" t="n">
        <v>0.00045</v>
      </c>
      <c r="Q132" s="3" t="s">
        <v>16</v>
      </c>
      <c r="R132" s="3"/>
    </row>
    <row r="133" customFormat="false" ht="15" hidden="false" customHeight="false" outlineLevel="0" collapsed="false">
      <c r="A133" s="3" t="s">
        <v>16</v>
      </c>
      <c r="B133" s="3" t="n">
        <v>4</v>
      </c>
      <c r="C133" s="3" t="s">
        <v>128</v>
      </c>
      <c r="D133" s="3" t="n">
        <v>1</v>
      </c>
      <c r="E133" s="3" t="s">
        <v>56</v>
      </c>
      <c r="F133" s="3" t="str">
        <f aca="false">IF(D133="","none",IF(D133&lt;=Settings!$B$3,"simple",IF(D133&lt;=Settings!$B$4,"coding","critical")))</f>
        <v>simple</v>
      </c>
      <c r="G133" s="3" t="n">
        <f aca="false">INDEX(Prompts!$D$2:$D$200,MATCH($B133,Prompts!$A$2:$A$200,0))</f>
        <v>1</v>
      </c>
      <c r="H133" s="3" t="n">
        <f aca="false">INDEX(Prompts!$E$2:$E$200,MATCH($B133,Prompts!$A$2:$A$200,0))</f>
        <v>2</v>
      </c>
      <c r="I133" s="3" t="n">
        <f aca="false">IF(D133="",0,IF(OR(F133=IF(G133&lt;=Settings!$B$3,"simple",IF(G133&lt;=Settings!$B$4,"coding","critical")),F133=IF(H133&lt;=Settings!$B$3,"simple",IF(H133&lt;=Settings!$B$4,"coding","critical"))),1,0))</f>
        <v>1</v>
      </c>
      <c r="J133" s="3" t="n">
        <f aca="false">IF(D133="",0,IF(AND(D133&gt;=G133,D133&lt;=H133),1,0))</f>
        <v>1</v>
      </c>
      <c r="K133" s="3" t="n">
        <f aca="false">IF(E133=INDEX(Prompts!$F$2:$F$200,MATCH($B133,Prompts!$A$2:$A$200,0)),1,0)</f>
        <v>1</v>
      </c>
      <c r="L133" s="3" t="n">
        <f aca="false">IF(AND(G133&gt;Settings!$B$4,OR(D133="",D133&lt;=Settings!$B$4)),1,0)</f>
        <v>0</v>
      </c>
      <c r="M133" s="3" t="n">
        <v>6.1</v>
      </c>
      <c r="N133" s="3" t="n">
        <v>293</v>
      </c>
      <c r="O133" s="3" t="n">
        <v>2</v>
      </c>
      <c r="P133" s="14" t="n">
        <v>0.000443</v>
      </c>
      <c r="Q133" s="3" t="s">
        <v>16</v>
      </c>
      <c r="R133" s="3"/>
    </row>
    <row r="134" customFormat="false" ht="15" hidden="false" customHeight="false" outlineLevel="0" collapsed="false">
      <c r="A134" s="3" t="s">
        <v>16</v>
      </c>
      <c r="B134" s="3" t="n">
        <v>5</v>
      </c>
      <c r="C134" s="3" t="s">
        <v>152</v>
      </c>
      <c r="D134" s="3" t="n">
        <v>1</v>
      </c>
      <c r="E134" s="3" t="s">
        <v>58</v>
      </c>
      <c r="F134" s="3" t="str">
        <f aca="false">IF(D134="","none",IF(D134&lt;=Settings!$B$3,"simple",IF(D134&lt;=Settings!$B$4,"coding","critical")))</f>
        <v>simple</v>
      </c>
      <c r="G134" s="3" t="n">
        <f aca="false">INDEX(Prompts!$D$2:$D$200,MATCH($B134,Prompts!$A$2:$A$200,0))</f>
        <v>1</v>
      </c>
      <c r="H134" s="3" t="n">
        <f aca="false">INDEX(Prompts!$E$2:$E$200,MATCH($B134,Prompts!$A$2:$A$200,0))</f>
        <v>2</v>
      </c>
      <c r="I134" s="3" t="n">
        <f aca="false">IF(D134="",0,IF(OR(F134=IF(G134&lt;=Settings!$B$3,"simple",IF(G134&lt;=Settings!$B$4,"coding","critical")),F134=IF(H134&lt;=Settings!$B$3,"simple",IF(H134&lt;=Settings!$B$4,"coding","critical"))),1,0))</f>
        <v>1</v>
      </c>
      <c r="J134" s="3" t="n">
        <f aca="false">IF(D134="",0,IF(AND(D134&gt;=G134,D134&lt;=H134),1,0))</f>
        <v>1</v>
      </c>
      <c r="K134" s="3" t="n">
        <f aca="false">IF(E134=INDEX(Prompts!$F$2:$F$200,MATCH($B134,Prompts!$A$2:$A$200,0)),1,0)</f>
        <v>1</v>
      </c>
      <c r="L134" s="3" t="n">
        <f aca="false">IF(AND(G134&gt;Settings!$B$4,OR(D134="",D134&lt;=Settings!$B$4)),1,0)</f>
        <v>0</v>
      </c>
      <c r="M134" s="3" t="n">
        <v>4.27</v>
      </c>
      <c r="N134" s="3" t="n">
        <v>300</v>
      </c>
      <c r="O134" s="3" t="n">
        <v>2</v>
      </c>
      <c r="P134" s="14" t="n">
        <v>0.000453</v>
      </c>
      <c r="Q134" s="3" t="s">
        <v>16</v>
      </c>
      <c r="R134" s="3"/>
    </row>
    <row r="135" customFormat="false" ht="15" hidden="false" customHeight="false" outlineLevel="0" collapsed="false">
      <c r="A135" s="3" t="s">
        <v>16</v>
      </c>
      <c r="B135" s="3" t="n">
        <v>6</v>
      </c>
      <c r="C135" s="3" t="s">
        <v>128</v>
      </c>
      <c r="D135" s="3" t="n">
        <v>1</v>
      </c>
      <c r="E135" s="3" t="s">
        <v>56</v>
      </c>
      <c r="F135" s="3" t="str">
        <f aca="false">IF(D135="","none",IF(D135&lt;=Settings!$B$3,"simple",IF(D135&lt;=Settings!$B$4,"coding","critical")))</f>
        <v>simple</v>
      </c>
      <c r="G135" s="3" t="n">
        <f aca="false">INDEX(Prompts!$D$2:$D$200,MATCH($B135,Prompts!$A$2:$A$200,0))</f>
        <v>1</v>
      </c>
      <c r="H135" s="3" t="n">
        <f aca="false">INDEX(Prompts!$E$2:$E$200,MATCH($B135,Prompts!$A$2:$A$200,0))</f>
        <v>2</v>
      </c>
      <c r="I135" s="3" t="n">
        <f aca="false">IF(D135="",0,IF(OR(F135=IF(G135&lt;=Settings!$B$3,"simple",IF(G135&lt;=Settings!$B$4,"coding","critical")),F135=IF(H135&lt;=Settings!$B$3,"simple",IF(H135&lt;=Settings!$B$4,"coding","critical"))),1,0))</f>
        <v>1</v>
      </c>
      <c r="J135" s="3" t="n">
        <f aca="false">IF(D135="",0,IF(AND(D135&gt;=G135,D135&lt;=H135),1,0))</f>
        <v>1</v>
      </c>
      <c r="K135" s="3" t="n">
        <f aca="false">IF(E135=INDEX(Prompts!$F$2:$F$200,MATCH($B135,Prompts!$A$2:$A$200,0)),1,0)</f>
        <v>0</v>
      </c>
      <c r="L135" s="3" t="n">
        <f aca="false">IF(AND(G135&gt;Settings!$B$4,OR(D135="",D135&lt;=Settings!$B$4)),1,0)</f>
        <v>0</v>
      </c>
      <c r="M135" s="3" t="n">
        <v>6.65</v>
      </c>
      <c r="N135" s="3" t="n">
        <v>293</v>
      </c>
      <c r="O135" s="3" t="n">
        <v>1</v>
      </c>
      <c r="P135" s="14" t="n">
        <v>0.000441</v>
      </c>
      <c r="Q135" s="3" t="s">
        <v>16</v>
      </c>
      <c r="R135" s="3"/>
    </row>
    <row r="136" customFormat="false" ht="15" hidden="false" customHeight="false" outlineLevel="0" collapsed="false">
      <c r="A136" s="3" t="s">
        <v>16</v>
      </c>
      <c r="B136" s="3" t="n">
        <v>7</v>
      </c>
      <c r="C136" s="3" t="s">
        <v>132</v>
      </c>
      <c r="D136" s="3" t="n">
        <v>3</v>
      </c>
      <c r="E136" s="3" t="s">
        <v>49</v>
      </c>
      <c r="F136" s="3" t="str">
        <f aca="false">IF(D136="","none",IF(D136&lt;=Settings!$B$3,"simple",IF(D136&lt;=Settings!$B$4,"coding","critical")))</f>
        <v>simple</v>
      </c>
      <c r="G136" s="3" t="n">
        <f aca="false">INDEX(Prompts!$D$2:$D$200,MATCH($B136,Prompts!$A$2:$A$200,0))</f>
        <v>1</v>
      </c>
      <c r="H136" s="3" t="n">
        <f aca="false">INDEX(Prompts!$E$2:$E$200,MATCH($B136,Prompts!$A$2:$A$200,0))</f>
        <v>3</v>
      </c>
      <c r="I136" s="3" t="n">
        <f aca="false">IF(D136="",0,IF(OR(F136=IF(G136&lt;=Settings!$B$3,"simple",IF(G136&lt;=Settings!$B$4,"coding","critical")),F136=IF(H136&lt;=Settings!$B$3,"simple",IF(H136&lt;=Settings!$B$4,"coding","critical"))),1,0))</f>
        <v>1</v>
      </c>
      <c r="J136" s="3" t="n">
        <f aca="false">IF(D136="",0,IF(AND(D136&gt;=G136,D136&lt;=H136),1,0))</f>
        <v>1</v>
      </c>
      <c r="K136" s="3" t="n">
        <f aca="false">IF(E136=INDEX(Prompts!$F$2:$F$200,MATCH($B136,Prompts!$A$2:$A$200,0)),1,0)</f>
        <v>1</v>
      </c>
      <c r="L136" s="3" t="n">
        <f aca="false">IF(AND(G136&gt;Settings!$B$4,OR(D136="",D136&lt;=Settings!$B$4)),1,0)</f>
        <v>0</v>
      </c>
      <c r="M136" s="3" t="n">
        <v>5.52</v>
      </c>
      <c r="N136" s="3" t="n">
        <v>294</v>
      </c>
      <c r="O136" s="3" t="n">
        <v>2</v>
      </c>
      <c r="P136" s="14" t="n">
        <v>0.000444</v>
      </c>
      <c r="Q136" s="3" t="s">
        <v>16</v>
      </c>
      <c r="R136" s="3"/>
    </row>
    <row r="137" customFormat="false" ht="15" hidden="false" customHeight="false" outlineLevel="0" collapsed="false">
      <c r="A137" s="3" t="s">
        <v>16</v>
      </c>
      <c r="B137" s="3" t="n">
        <v>8</v>
      </c>
      <c r="C137" s="3" t="s">
        <v>132</v>
      </c>
      <c r="D137" s="3" t="n">
        <v>3</v>
      </c>
      <c r="E137" s="3" t="s">
        <v>49</v>
      </c>
      <c r="F137" s="3" t="str">
        <f aca="false">IF(D137="","none",IF(D137&lt;=Settings!$B$3,"simple",IF(D137&lt;=Settings!$B$4,"coding","critical")))</f>
        <v>simple</v>
      </c>
      <c r="G137" s="3" t="n">
        <f aca="false">INDEX(Prompts!$D$2:$D$200,MATCH($B137,Prompts!$A$2:$A$200,0))</f>
        <v>2</v>
      </c>
      <c r="H137" s="3" t="n">
        <f aca="false">INDEX(Prompts!$E$2:$E$200,MATCH($B137,Prompts!$A$2:$A$200,0))</f>
        <v>3</v>
      </c>
      <c r="I137" s="3" t="n">
        <f aca="false">IF(D137="",0,IF(OR(F137=IF(G137&lt;=Settings!$B$3,"simple",IF(G137&lt;=Settings!$B$4,"coding","critical")),F137=IF(H137&lt;=Settings!$B$3,"simple",IF(H137&lt;=Settings!$B$4,"coding","critical"))),1,0))</f>
        <v>1</v>
      </c>
      <c r="J137" s="3" t="n">
        <f aca="false">IF(D137="",0,IF(AND(D137&gt;=G137,D137&lt;=H137),1,0))</f>
        <v>1</v>
      </c>
      <c r="K137" s="3" t="n">
        <f aca="false">IF(E137=INDEX(Prompts!$F$2:$F$200,MATCH($B137,Prompts!$A$2:$A$200,0)),1,0)</f>
        <v>1</v>
      </c>
      <c r="L137" s="3" t="n">
        <f aca="false">IF(AND(G137&gt;Settings!$B$4,OR(D137="",D137&lt;=Settings!$B$4)),1,0)</f>
        <v>0</v>
      </c>
      <c r="M137" s="3" t="n">
        <v>3.57</v>
      </c>
      <c r="N137" s="3" t="n">
        <v>299</v>
      </c>
      <c r="O137" s="3" t="n">
        <v>2</v>
      </c>
      <c r="P137" s="14" t="n">
        <v>0.000452</v>
      </c>
      <c r="Q137" s="3" t="s">
        <v>16</v>
      </c>
      <c r="R137" s="3"/>
    </row>
    <row r="138" customFormat="false" ht="15" hidden="false" customHeight="false" outlineLevel="0" collapsed="false">
      <c r="A138" s="3" t="s">
        <v>16</v>
      </c>
      <c r="B138" s="3" t="n">
        <v>9</v>
      </c>
      <c r="C138" s="3" t="s">
        <v>132</v>
      </c>
      <c r="D138" s="3" t="n">
        <v>3</v>
      </c>
      <c r="E138" s="3" t="s">
        <v>49</v>
      </c>
      <c r="F138" s="3" t="str">
        <f aca="false">IF(D138="","none",IF(D138&lt;=Settings!$B$3,"simple",IF(D138&lt;=Settings!$B$4,"coding","critical")))</f>
        <v>simple</v>
      </c>
      <c r="G138" s="3" t="n">
        <f aca="false">INDEX(Prompts!$D$2:$D$200,MATCH($B138,Prompts!$A$2:$A$200,0))</f>
        <v>2</v>
      </c>
      <c r="H138" s="3" t="n">
        <f aca="false">INDEX(Prompts!$E$2:$E$200,MATCH($B138,Prompts!$A$2:$A$200,0))</f>
        <v>3</v>
      </c>
      <c r="I138" s="3" t="n">
        <f aca="false">IF(D138="",0,IF(OR(F138=IF(G138&lt;=Settings!$B$3,"simple",IF(G138&lt;=Settings!$B$4,"coding","critical")),F138=IF(H138&lt;=Settings!$B$3,"simple",IF(H138&lt;=Settings!$B$4,"coding","critical"))),1,0))</f>
        <v>1</v>
      </c>
      <c r="J138" s="3" t="n">
        <f aca="false">IF(D138="",0,IF(AND(D138&gt;=G138,D138&lt;=H138),1,0))</f>
        <v>1</v>
      </c>
      <c r="K138" s="3" t="n">
        <f aca="false">IF(E138=INDEX(Prompts!$F$2:$F$200,MATCH($B138,Prompts!$A$2:$A$200,0)),1,0)</f>
        <v>1</v>
      </c>
      <c r="L138" s="3" t="n">
        <f aca="false">IF(AND(G138&gt;Settings!$B$4,OR(D138="",D138&lt;=Settings!$B$4)),1,0)</f>
        <v>0</v>
      </c>
      <c r="M138" s="3" t="n">
        <v>3.71</v>
      </c>
      <c r="N138" s="3" t="n">
        <v>296</v>
      </c>
      <c r="O138" s="3" t="n">
        <v>2</v>
      </c>
      <c r="P138" s="14" t="n">
        <v>0.000447</v>
      </c>
      <c r="Q138" s="3" t="s">
        <v>16</v>
      </c>
      <c r="R138" s="3"/>
    </row>
    <row r="139" customFormat="false" ht="15" hidden="false" customHeight="false" outlineLevel="0" collapsed="false">
      <c r="A139" s="3" t="s">
        <v>16</v>
      </c>
      <c r="B139" s="3" t="n">
        <v>10</v>
      </c>
      <c r="C139" s="3" t="s">
        <v>132</v>
      </c>
      <c r="D139" s="3" t="n">
        <v>3</v>
      </c>
      <c r="E139" s="3" t="s">
        <v>49</v>
      </c>
      <c r="F139" s="3" t="str">
        <f aca="false">IF(D139="","none",IF(D139&lt;=Settings!$B$3,"simple",IF(D139&lt;=Settings!$B$4,"coding","critical")))</f>
        <v>simple</v>
      </c>
      <c r="G139" s="3" t="n">
        <f aca="false">INDEX(Prompts!$D$2:$D$200,MATCH($B139,Prompts!$A$2:$A$200,0))</f>
        <v>2</v>
      </c>
      <c r="H139" s="3" t="n">
        <f aca="false">INDEX(Prompts!$E$2:$E$200,MATCH($B139,Prompts!$A$2:$A$200,0))</f>
        <v>3</v>
      </c>
      <c r="I139" s="3" t="n">
        <f aca="false">IF(D139="",0,IF(OR(F139=IF(G139&lt;=Settings!$B$3,"simple",IF(G139&lt;=Settings!$B$4,"coding","critical")),F139=IF(H139&lt;=Settings!$B$3,"simple",IF(H139&lt;=Settings!$B$4,"coding","critical"))),1,0))</f>
        <v>1</v>
      </c>
      <c r="J139" s="3" t="n">
        <f aca="false">IF(D139="",0,IF(AND(D139&gt;=G139,D139&lt;=H139),1,0))</f>
        <v>1</v>
      </c>
      <c r="K139" s="3" t="n">
        <f aca="false">IF(E139=INDEX(Prompts!$F$2:$F$200,MATCH($B139,Prompts!$A$2:$A$200,0)),1,0)</f>
        <v>1</v>
      </c>
      <c r="L139" s="3" t="n">
        <f aca="false">IF(AND(G139&gt;Settings!$B$4,OR(D139="",D139&lt;=Settings!$B$4)),1,0)</f>
        <v>0</v>
      </c>
      <c r="M139" s="3" t="n">
        <v>3.18</v>
      </c>
      <c r="N139" s="3" t="n">
        <v>292</v>
      </c>
      <c r="O139" s="3" t="n">
        <v>2</v>
      </c>
      <c r="P139" s="14" t="n">
        <v>0.000441</v>
      </c>
      <c r="Q139" s="3" t="s">
        <v>16</v>
      </c>
      <c r="R139" s="3"/>
    </row>
    <row r="140" customFormat="false" ht="15" hidden="false" customHeight="false" outlineLevel="0" collapsed="false">
      <c r="A140" s="3" t="s">
        <v>16</v>
      </c>
      <c r="B140" s="3" t="n">
        <v>11</v>
      </c>
      <c r="C140" s="3" t="s">
        <v>127</v>
      </c>
      <c r="D140" s="3" t="n">
        <v>1</v>
      </c>
      <c r="E140" s="3" t="s">
        <v>69</v>
      </c>
      <c r="F140" s="3" t="str">
        <f aca="false">IF(D140="","none",IF(D140&lt;=Settings!$B$3,"simple",IF(D140&lt;=Settings!$B$4,"coding","critical")))</f>
        <v>simple</v>
      </c>
      <c r="G140" s="3" t="n">
        <f aca="false">INDEX(Prompts!$D$2:$D$200,MATCH($B140,Prompts!$A$2:$A$200,0))</f>
        <v>1</v>
      </c>
      <c r="H140" s="3" t="n">
        <f aca="false">INDEX(Prompts!$E$2:$E$200,MATCH($B140,Prompts!$A$2:$A$200,0))</f>
        <v>3</v>
      </c>
      <c r="I140" s="3" t="n">
        <f aca="false">IF(D140="",0,IF(OR(F140=IF(G140&lt;=Settings!$B$3,"simple",IF(G140&lt;=Settings!$B$4,"coding","critical")),F140=IF(H140&lt;=Settings!$B$3,"simple",IF(H140&lt;=Settings!$B$4,"coding","critical"))),1,0))</f>
        <v>1</v>
      </c>
      <c r="J140" s="3" t="n">
        <f aca="false">IF(D140="",0,IF(AND(D140&gt;=G140,D140&lt;=H140),1,0))</f>
        <v>1</v>
      </c>
      <c r="K140" s="3" t="n">
        <f aca="false">IF(E140=INDEX(Prompts!$F$2:$F$200,MATCH($B140,Prompts!$A$2:$A$200,0)),1,0)</f>
        <v>1</v>
      </c>
      <c r="L140" s="3" t="n">
        <f aca="false">IF(AND(G140&gt;Settings!$B$4,OR(D140="",D140&lt;=Settings!$B$4)),1,0)</f>
        <v>0</v>
      </c>
      <c r="M140" s="3" t="n">
        <v>5.77</v>
      </c>
      <c r="N140" s="3" t="n">
        <v>292</v>
      </c>
      <c r="O140" s="3" t="n">
        <v>2</v>
      </c>
      <c r="P140" s="14" t="n">
        <v>0.000441</v>
      </c>
      <c r="Q140" s="3" t="s">
        <v>16</v>
      </c>
      <c r="R140" s="3"/>
    </row>
    <row r="141" customFormat="false" ht="15" hidden="false" customHeight="false" outlineLevel="0" collapsed="false">
      <c r="A141" s="3" t="s">
        <v>16</v>
      </c>
      <c r="B141" s="3" t="n">
        <v>12</v>
      </c>
      <c r="C141" s="3" t="s">
        <v>134</v>
      </c>
      <c r="D141" s="3" t="n">
        <v>3</v>
      </c>
      <c r="E141" s="3" t="s">
        <v>69</v>
      </c>
      <c r="F141" s="3" t="str">
        <f aca="false">IF(D141="","none",IF(D141&lt;=Settings!$B$3,"simple",IF(D141&lt;=Settings!$B$4,"coding","critical")))</f>
        <v>simple</v>
      </c>
      <c r="G141" s="3" t="n">
        <f aca="false">INDEX(Prompts!$D$2:$D$200,MATCH($B141,Prompts!$A$2:$A$200,0))</f>
        <v>2</v>
      </c>
      <c r="H141" s="3" t="n">
        <f aca="false">INDEX(Prompts!$E$2:$E$200,MATCH($B141,Prompts!$A$2:$A$200,0))</f>
        <v>4</v>
      </c>
      <c r="I141" s="3" t="n">
        <f aca="false">IF(D141="",0,IF(OR(F141=IF(G141&lt;=Settings!$B$3,"simple",IF(G141&lt;=Settings!$B$4,"coding","critical")),F141=IF(H141&lt;=Settings!$B$3,"simple",IF(H141&lt;=Settings!$B$4,"coding","critical"))),1,0))</f>
        <v>1</v>
      </c>
      <c r="J141" s="3" t="n">
        <f aca="false">IF(D141="",0,IF(AND(D141&gt;=G141,D141&lt;=H141),1,0))</f>
        <v>1</v>
      </c>
      <c r="K141" s="3" t="n">
        <f aca="false">IF(E141=INDEX(Prompts!$F$2:$F$200,MATCH($B141,Prompts!$A$2:$A$200,0)),1,0)</f>
        <v>1</v>
      </c>
      <c r="L141" s="3" t="n">
        <f aca="false">IF(AND(G141&gt;Settings!$B$4,OR(D141="",D141&lt;=Settings!$B$4)),1,0)</f>
        <v>0</v>
      </c>
      <c r="M141" s="3" t="n">
        <v>2.55</v>
      </c>
      <c r="N141" s="3" t="n">
        <v>294</v>
      </c>
      <c r="O141" s="3" t="n">
        <v>2</v>
      </c>
      <c r="P141" s="14" t="n">
        <v>0.000444</v>
      </c>
      <c r="Q141" s="3" t="s">
        <v>16</v>
      </c>
      <c r="R141" s="3"/>
    </row>
    <row r="142" customFormat="false" ht="15" hidden="false" customHeight="false" outlineLevel="0" collapsed="false">
      <c r="A142" s="3" t="s">
        <v>16</v>
      </c>
      <c r="B142" s="3" t="n">
        <v>13</v>
      </c>
      <c r="C142" s="3" t="s">
        <v>132</v>
      </c>
      <c r="D142" s="3" t="n">
        <v>3</v>
      </c>
      <c r="E142" s="3" t="s">
        <v>49</v>
      </c>
      <c r="F142" s="3" t="str">
        <f aca="false">IF(D142="","none",IF(D142&lt;=Settings!$B$3,"simple",IF(D142&lt;=Settings!$B$4,"coding","critical")))</f>
        <v>simple</v>
      </c>
      <c r="G142" s="3" t="n">
        <f aca="false">INDEX(Prompts!$D$2:$D$200,MATCH($B142,Prompts!$A$2:$A$200,0))</f>
        <v>3</v>
      </c>
      <c r="H142" s="3" t="n">
        <f aca="false">INDEX(Prompts!$E$2:$E$200,MATCH($B142,Prompts!$A$2:$A$200,0))</f>
        <v>4</v>
      </c>
      <c r="I142" s="3" t="n">
        <f aca="false">IF(D142="",0,IF(OR(F142=IF(G142&lt;=Settings!$B$3,"simple",IF(G142&lt;=Settings!$B$4,"coding","critical")),F142=IF(H142&lt;=Settings!$B$3,"simple",IF(H142&lt;=Settings!$B$4,"coding","critical"))),1,0))</f>
        <v>1</v>
      </c>
      <c r="J142" s="3" t="n">
        <f aca="false">IF(D142="",0,IF(AND(D142&gt;=G142,D142&lt;=H142),1,0))</f>
        <v>1</v>
      </c>
      <c r="K142" s="3" t="n">
        <f aca="false">IF(E142=INDEX(Prompts!$F$2:$F$200,MATCH($B142,Prompts!$A$2:$A$200,0)),1,0)</f>
        <v>1</v>
      </c>
      <c r="L142" s="3" t="n">
        <f aca="false">IF(AND(G142&gt;Settings!$B$4,OR(D142="",D142&lt;=Settings!$B$4)),1,0)</f>
        <v>0</v>
      </c>
      <c r="M142" s="3" t="n">
        <v>3.47</v>
      </c>
      <c r="N142" s="3" t="n">
        <v>298</v>
      </c>
      <c r="O142" s="3" t="n">
        <v>2</v>
      </c>
      <c r="P142" s="14" t="n">
        <v>0.00045</v>
      </c>
      <c r="Q142" s="3" t="s">
        <v>16</v>
      </c>
      <c r="R142" s="3"/>
    </row>
    <row r="143" customFormat="false" ht="15" hidden="false" customHeight="false" outlineLevel="0" collapsed="false">
      <c r="A143" s="3" t="s">
        <v>16</v>
      </c>
      <c r="B143" s="3" t="n">
        <v>14</v>
      </c>
      <c r="C143" s="3" t="s">
        <v>129</v>
      </c>
      <c r="D143" s="3" t="n">
        <v>1</v>
      </c>
      <c r="E143" s="3" t="s">
        <v>53</v>
      </c>
      <c r="F143" s="3" t="str">
        <f aca="false">IF(D143="","none",IF(D143&lt;=Settings!$B$3,"simple",IF(D143&lt;=Settings!$B$4,"coding","critical")))</f>
        <v>simple</v>
      </c>
      <c r="G143" s="3" t="n">
        <f aca="false">INDEX(Prompts!$D$2:$D$200,MATCH($B143,Prompts!$A$2:$A$200,0))</f>
        <v>2</v>
      </c>
      <c r="H143" s="3" t="n">
        <f aca="false">INDEX(Prompts!$E$2:$E$200,MATCH($B143,Prompts!$A$2:$A$200,0))</f>
        <v>4</v>
      </c>
      <c r="I143" s="3" t="n">
        <f aca="false">IF(D143="",0,IF(OR(F143=IF(G143&lt;=Settings!$B$3,"simple",IF(G143&lt;=Settings!$B$4,"coding","critical")),F143=IF(H143&lt;=Settings!$B$3,"simple",IF(H143&lt;=Settings!$B$4,"coding","critical"))),1,0))</f>
        <v>1</v>
      </c>
      <c r="J143" s="3" t="n">
        <f aca="false">IF(D143="",0,IF(AND(D143&gt;=G143,D143&lt;=H143),1,0))</f>
        <v>0</v>
      </c>
      <c r="K143" s="3" t="n">
        <f aca="false">IF(E143=INDEX(Prompts!$F$2:$F$200,MATCH($B143,Prompts!$A$2:$A$200,0)),1,0)</f>
        <v>1</v>
      </c>
      <c r="L143" s="3" t="n">
        <f aca="false">IF(AND(G143&gt;Settings!$B$4,OR(D143="",D143&lt;=Settings!$B$4)),1,0)</f>
        <v>0</v>
      </c>
      <c r="M143" s="3" t="n">
        <v>4.54</v>
      </c>
      <c r="N143" s="3" t="n">
        <v>296</v>
      </c>
      <c r="O143" s="3" t="n">
        <v>2</v>
      </c>
      <c r="P143" s="14" t="n">
        <v>0.000447</v>
      </c>
      <c r="Q143" s="3" t="s">
        <v>16</v>
      </c>
      <c r="R143" s="3"/>
    </row>
    <row r="144" customFormat="false" ht="15" hidden="false" customHeight="false" outlineLevel="0" collapsed="false">
      <c r="A144" s="3" t="s">
        <v>16</v>
      </c>
      <c r="B144" s="3" t="n">
        <v>15</v>
      </c>
      <c r="C144" s="3" t="s">
        <v>154</v>
      </c>
      <c r="D144" s="3" t="n">
        <v>4</v>
      </c>
      <c r="E144" s="3" t="s">
        <v>49</v>
      </c>
      <c r="F144" s="3" t="str">
        <f aca="false">IF(D144="","none",IF(D144&lt;=Settings!$B$3,"simple",IF(D144&lt;=Settings!$B$4,"coding","critical")))</f>
        <v>coding</v>
      </c>
      <c r="G144" s="3" t="n">
        <f aca="false">INDEX(Prompts!$D$2:$D$200,MATCH($B144,Prompts!$A$2:$A$200,0))</f>
        <v>3</v>
      </c>
      <c r="H144" s="3" t="n">
        <f aca="false">INDEX(Prompts!$E$2:$E$200,MATCH($B144,Prompts!$A$2:$A$200,0))</f>
        <v>5</v>
      </c>
      <c r="I144" s="3" t="n">
        <f aca="false">IF(D144="",0,IF(OR(F144=IF(G144&lt;=Settings!$B$3,"simple",IF(G144&lt;=Settings!$B$4,"coding","critical")),F144=IF(H144&lt;=Settings!$B$3,"simple",IF(H144&lt;=Settings!$B$4,"coding","critical"))),1,0))</f>
        <v>1</v>
      </c>
      <c r="J144" s="3" t="n">
        <f aca="false">IF(D144="",0,IF(AND(D144&gt;=G144,D144&lt;=H144),1,0))</f>
        <v>1</v>
      </c>
      <c r="K144" s="3" t="n">
        <f aca="false">IF(E144=INDEX(Prompts!$F$2:$F$200,MATCH($B144,Prompts!$A$2:$A$200,0)),1,0)</f>
        <v>1</v>
      </c>
      <c r="L144" s="3" t="n">
        <f aca="false">IF(AND(G144&gt;Settings!$B$4,OR(D144="",D144&lt;=Settings!$B$4)),1,0)</f>
        <v>0</v>
      </c>
      <c r="M144" s="3" t="n">
        <v>4.52</v>
      </c>
      <c r="N144" s="3" t="n">
        <v>302</v>
      </c>
      <c r="O144" s="3" t="n">
        <v>2</v>
      </c>
      <c r="P144" s="14" t="n">
        <v>0.000456</v>
      </c>
      <c r="Q144" s="3" t="s">
        <v>16</v>
      </c>
      <c r="R144" s="3"/>
    </row>
    <row r="145" customFormat="false" ht="15" hidden="false" customHeight="false" outlineLevel="0" collapsed="false">
      <c r="A145" s="3" t="s">
        <v>16</v>
      </c>
      <c r="B145" s="3" t="n">
        <v>16</v>
      </c>
      <c r="C145" s="3" t="s">
        <v>132</v>
      </c>
      <c r="D145" s="3" t="n">
        <v>3</v>
      </c>
      <c r="E145" s="3" t="s">
        <v>49</v>
      </c>
      <c r="F145" s="3" t="str">
        <f aca="false">IF(D145="","none",IF(D145&lt;=Settings!$B$3,"simple",IF(D145&lt;=Settings!$B$4,"coding","critical")))</f>
        <v>simple</v>
      </c>
      <c r="G145" s="3" t="n">
        <f aca="false">INDEX(Prompts!$D$2:$D$200,MATCH($B145,Prompts!$A$2:$A$200,0))</f>
        <v>3</v>
      </c>
      <c r="H145" s="3" t="n">
        <f aca="false">INDEX(Prompts!$E$2:$E$200,MATCH($B145,Prompts!$A$2:$A$200,0))</f>
        <v>5</v>
      </c>
      <c r="I145" s="3" t="n">
        <f aca="false">IF(D145="",0,IF(OR(F145=IF(G145&lt;=Settings!$B$3,"simple",IF(G145&lt;=Settings!$B$4,"coding","critical")),F145=IF(H145&lt;=Settings!$B$3,"simple",IF(H145&lt;=Settings!$B$4,"coding","critical"))),1,0))</f>
        <v>1</v>
      </c>
      <c r="J145" s="3" t="n">
        <f aca="false">IF(D145="",0,IF(AND(D145&gt;=G145,D145&lt;=H145),1,0))</f>
        <v>1</v>
      </c>
      <c r="K145" s="3" t="n">
        <f aca="false">IF(E145=INDEX(Prompts!$F$2:$F$200,MATCH($B145,Prompts!$A$2:$A$200,0)),1,0)</f>
        <v>1</v>
      </c>
      <c r="L145" s="3" t="n">
        <f aca="false">IF(AND(G145&gt;Settings!$B$4,OR(D145="",D145&lt;=Settings!$B$4)),1,0)</f>
        <v>0</v>
      </c>
      <c r="M145" s="3" t="n">
        <v>3.16</v>
      </c>
      <c r="N145" s="3" t="n">
        <v>304</v>
      </c>
      <c r="O145" s="3" t="n">
        <v>2</v>
      </c>
      <c r="P145" s="14" t="n">
        <v>0.000459</v>
      </c>
      <c r="Q145" s="3" t="s">
        <v>16</v>
      </c>
      <c r="R145" s="3"/>
    </row>
    <row r="146" customFormat="false" ht="15" hidden="false" customHeight="false" outlineLevel="0" collapsed="false">
      <c r="A146" s="3" t="s">
        <v>16</v>
      </c>
      <c r="B146" s="3" t="n">
        <v>17</v>
      </c>
      <c r="C146" s="3" t="s">
        <v>170</v>
      </c>
      <c r="D146" s="3" t="n">
        <v>3</v>
      </c>
      <c r="E146" s="3" t="s">
        <v>81</v>
      </c>
      <c r="F146" s="3" t="str">
        <f aca="false">IF(D146="","none",IF(D146&lt;=Settings!$B$3,"simple",IF(D146&lt;=Settings!$B$4,"coding","critical")))</f>
        <v>simple</v>
      </c>
      <c r="G146" s="3" t="n">
        <f aca="false">INDEX(Prompts!$D$2:$D$200,MATCH($B146,Prompts!$A$2:$A$200,0))</f>
        <v>3</v>
      </c>
      <c r="H146" s="3" t="n">
        <f aca="false">INDEX(Prompts!$E$2:$E$200,MATCH($B146,Prompts!$A$2:$A$200,0))</f>
        <v>5</v>
      </c>
      <c r="I146" s="3" t="n">
        <f aca="false">IF(D146="",0,IF(OR(F146=IF(G146&lt;=Settings!$B$3,"simple",IF(G146&lt;=Settings!$B$4,"coding","critical")),F146=IF(H146&lt;=Settings!$B$3,"simple",IF(H146&lt;=Settings!$B$4,"coding","critical"))),1,0))</f>
        <v>1</v>
      </c>
      <c r="J146" s="3" t="n">
        <f aca="false">IF(D146="",0,IF(AND(D146&gt;=G146,D146&lt;=H146),1,0))</f>
        <v>1</v>
      </c>
      <c r="K146" s="3" t="n">
        <f aca="false">IF(E146=INDEX(Prompts!$F$2:$F$200,MATCH($B146,Prompts!$A$2:$A$200,0)),1,0)</f>
        <v>1</v>
      </c>
      <c r="L146" s="3" t="n">
        <f aca="false">IF(AND(G146&gt;Settings!$B$4,OR(D146="",D146&lt;=Settings!$B$4)),1,0)</f>
        <v>0</v>
      </c>
      <c r="M146" s="3" t="n">
        <v>5.77</v>
      </c>
      <c r="N146" s="3" t="n">
        <v>299</v>
      </c>
      <c r="O146" s="3" t="n">
        <v>2</v>
      </c>
      <c r="P146" s="14" t="n">
        <v>0.000452</v>
      </c>
      <c r="Q146" s="3" t="s">
        <v>16</v>
      </c>
      <c r="R146" s="3"/>
    </row>
    <row r="147" customFormat="false" ht="15" hidden="false" customHeight="false" outlineLevel="0" collapsed="false">
      <c r="A147" s="3" t="s">
        <v>16</v>
      </c>
      <c r="B147" s="3" t="n">
        <v>18</v>
      </c>
      <c r="C147" s="3" t="s">
        <v>154</v>
      </c>
      <c r="D147" s="3" t="n">
        <v>4</v>
      </c>
      <c r="E147" s="3" t="s">
        <v>49</v>
      </c>
      <c r="F147" s="3" t="str">
        <f aca="false">IF(D147="","none",IF(D147&lt;=Settings!$B$3,"simple",IF(D147&lt;=Settings!$B$4,"coding","critical")))</f>
        <v>coding</v>
      </c>
      <c r="G147" s="3" t="n">
        <f aca="false">INDEX(Prompts!$D$2:$D$200,MATCH($B147,Prompts!$A$2:$A$200,0))</f>
        <v>4</v>
      </c>
      <c r="H147" s="3" t="n">
        <f aca="false">INDEX(Prompts!$E$2:$E$200,MATCH($B147,Prompts!$A$2:$A$200,0))</f>
        <v>6</v>
      </c>
      <c r="I147" s="3" t="n">
        <f aca="false">IF(D147="",0,IF(OR(F147=IF(G147&lt;=Settings!$B$3,"simple",IF(G147&lt;=Settings!$B$4,"coding","critical")),F147=IF(H147&lt;=Settings!$B$3,"simple",IF(H147&lt;=Settings!$B$4,"coding","critical"))),1,0))</f>
        <v>1</v>
      </c>
      <c r="J147" s="3" t="n">
        <f aca="false">IF(D147="",0,IF(AND(D147&gt;=G147,D147&lt;=H147),1,0))</f>
        <v>1</v>
      </c>
      <c r="K147" s="3" t="n">
        <f aca="false">IF(E147=INDEX(Prompts!$F$2:$F$200,MATCH($B147,Prompts!$A$2:$A$200,0)),1,0)</f>
        <v>1</v>
      </c>
      <c r="L147" s="3" t="n">
        <f aca="false">IF(AND(G147&gt;Settings!$B$4,OR(D147="",D147&lt;=Settings!$B$4)),1,0)</f>
        <v>0</v>
      </c>
      <c r="M147" s="3" t="n">
        <v>4.36</v>
      </c>
      <c r="N147" s="3" t="n">
        <v>306</v>
      </c>
      <c r="O147" s="3" t="n">
        <v>2</v>
      </c>
      <c r="P147" s="14" t="n">
        <v>0.000462</v>
      </c>
      <c r="Q147" s="3" t="s">
        <v>16</v>
      </c>
      <c r="R147" s="3"/>
    </row>
    <row r="148" customFormat="false" ht="15" hidden="false" customHeight="false" outlineLevel="0" collapsed="false">
      <c r="A148" s="3" t="s">
        <v>16</v>
      </c>
      <c r="B148" s="3" t="n">
        <v>19</v>
      </c>
      <c r="C148" s="3" t="s">
        <v>154</v>
      </c>
      <c r="D148" s="3" t="n">
        <v>4</v>
      </c>
      <c r="E148" s="3" t="s">
        <v>49</v>
      </c>
      <c r="F148" s="3" t="str">
        <f aca="false">IF(D148="","none",IF(D148&lt;=Settings!$B$3,"simple",IF(D148&lt;=Settings!$B$4,"coding","critical")))</f>
        <v>coding</v>
      </c>
      <c r="G148" s="3" t="n">
        <f aca="false">INDEX(Prompts!$D$2:$D$200,MATCH($B148,Prompts!$A$2:$A$200,0))</f>
        <v>4</v>
      </c>
      <c r="H148" s="3" t="n">
        <f aca="false">INDEX(Prompts!$E$2:$E$200,MATCH($B148,Prompts!$A$2:$A$200,0))</f>
        <v>6</v>
      </c>
      <c r="I148" s="3" t="n">
        <f aca="false">IF(D148="",0,IF(OR(F148=IF(G148&lt;=Settings!$B$3,"simple",IF(G148&lt;=Settings!$B$4,"coding","critical")),F148=IF(H148&lt;=Settings!$B$3,"simple",IF(H148&lt;=Settings!$B$4,"coding","critical"))),1,0))</f>
        <v>1</v>
      </c>
      <c r="J148" s="3" t="n">
        <f aca="false">IF(D148="",0,IF(AND(D148&gt;=G148,D148&lt;=H148),1,0))</f>
        <v>1</v>
      </c>
      <c r="K148" s="3" t="n">
        <f aca="false">IF(E148=INDEX(Prompts!$F$2:$F$200,MATCH($B148,Prompts!$A$2:$A$200,0)),1,0)</f>
        <v>1</v>
      </c>
      <c r="L148" s="3" t="n">
        <f aca="false">IF(AND(G148&gt;Settings!$B$4,OR(D148="",D148&lt;=Settings!$B$4)),1,0)</f>
        <v>0</v>
      </c>
      <c r="M148" s="3" t="n">
        <v>4.15</v>
      </c>
      <c r="N148" s="3" t="n">
        <v>303</v>
      </c>
      <c r="O148" s="3" t="n">
        <v>2</v>
      </c>
      <c r="P148" s="14" t="n">
        <v>0.000458</v>
      </c>
      <c r="Q148" s="3" t="s">
        <v>16</v>
      </c>
      <c r="R148" s="3"/>
    </row>
    <row r="149" customFormat="false" ht="15" hidden="false" customHeight="false" outlineLevel="0" collapsed="false">
      <c r="A149" s="3" t="s">
        <v>16</v>
      </c>
      <c r="B149" s="3" t="n">
        <v>20</v>
      </c>
      <c r="C149" s="3" t="s">
        <v>138</v>
      </c>
      <c r="D149" s="3" t="n">
        <v>5</v>
      </c>
      <c r="E149" s="3" t="s">
        <v>49</v>
      </c>
      <c r="F149" s="3" t="str">
        <f aca="false">IF(D149="","none",IF(D149&lt;=Settings!$B$3,"simple",IF(D149&lt;=Settings!$B$4,"coding","critical")))</f>
        <v>coding</v>
      </c>
      <c r="G149" s="3" t="n">
        <f aca="false">INDEX(Prompts!$D$2:$D$200,MATCH($B149,Prompts!$A$2:$A$200,0))</f>
        <v>4</v>
      </c>
      <c r="H149" s="3" t="n">
        <f aca="false">INDEX(Prompts!$E$2:$E$200,MATCH($B149,Prompts!$A$2:$A$200,0))</f>
        <v>6</v>
      </c>
      <c r="I149" s="3" t="n">
        <f aca="false">IF(D149="",0,IF(OR(F149=IF(G149&lt;=Settings!$B$3,"simple",IF(G149&lt;=Settings!$B$4,"coding","critical")),F149=IF(H149&lt;=Settings!$B$3,"simple",IF(H149&lt;=Settings!$B$4,"coding","critical"))),1,0))</f>
        <v>1</v>
      </c>
      <c r="J149" s="3" t="n">
        <f aca="false">IF(D149="",0,IF(AND(D149&gt;=G149,D149&lt;=H149),1,0))</f>
        <v>1</v>
      </c>
      <c r="K149" s="3" t="n">
        <f aca="false">IF(E149=INDEX(Prompts!$F$2:$F$200,MATCH($B149,Prompts!$A$2:$A$200,0)),1,0)</f>
        <v>1</v>
      </c>
      <c r="L149" s="3" t="n">
        <f aca="false">IF(AND(G149&gt;Settings!$B$4,OR(D149="",D149&lt;=Settings!$B$4)),1,0)</f>
        <v>0</v>
      </c>
      <c r="M149" s="3" t="n">
        <v>3.14</v>
      </c>
      <c r="N149" s="3" t="n">
        <v>299</v>
      </c>
      <c r="O149" s="3" t="n">
        <v>2</v>
      </c>
      <c r="P149" s="14" t="n">
        <v>0.000452</v>
      </c>
      <c r="Q149" s="3" t="s">
        <v>16</v>
      </c>
      <c r="R149" s="3"/>
    </row>
    <row r="150" customFormat="false" ht="15" hidden="false" customHeight="false" outlineLevel="0" collapsed="false">
      <c r="A150" s="3" t="s">
        <v>16</v>
      </c>
      <c r="B150" s="3" t="n">
        <v>21</v>
      </c>
      <c r="C150" s="3" t="s">
        <v>155</v>
      </c>
      <c r="D150" s="3" t="n">
        <v>9</v>
      </c>
      <c r="E150" s="3" t="s">
        <v>56</v>
      </c>
      <c r="F150" s="3" t="str">
        <f aca="false">IF(D150="","none",IF(D150&lt;=Settings!$B$3,"simple",IF(D150&lt;=Settings!$B$4,"coding","critical")))</f>
        <v>critical</v>
      </c>
      <c r="G150" s="3" t="n">
        <f aca="false">INDEX(Prompts!$D$2:$D$200,MATCH($B150,Prompts!$A$2:$A$200,0))</f>
        <v>3</v>
      </c>
      <c r="H150" s="3" t="n">
        <f aca="false">INDEX(Prompts!$E$2:$E$200,MATCH($B150,Prompts!$A$2:$A$200,0))</f>
        <v>5</v>
      </c>
      <c r="I150" s="3" t="n">
        <f aca="false">IF(D150="",0,IF(OR(F150=IF(G150&lt;=Settings!$B$3,"simple",IF(G150&lt;=Settings!$B$4,"coding","critical")),F150=IF(H150&lt;=Settings!$B$3,"simple",IF(H150&lt;=Settings!$B$4,"coding","critical"))),1,0))</f>
        <v>0</v>
      </c>
      <c r="J150" s="3" t="n">
        <f aca="false">IF(D150="",0,IF(AND(D150&gt;=G150,D150&lt;=H150),1,0))</f>
        <v>0</v>
      </c>
      <c r="K150" s="3" t="n">
        <f aca="false">IF(E150=INDEX(Prompts!$F$2:$F$200,MATCH($B150,Prompts!$A$2:$A$200,0)),1,0)</f>
        <v>1</v>
      </c>
      <c r="L150" s="3" t="n">
        <f aca="false">IF(AND(G150&gt;Settings!$B$4,OR(D150="",D150&lt;=Settings!$B$4)),1,0)</f>
        <v>0</v>
      </c>
      <c r="M150" s="3" t="n">
        <v>4.16</v>
      </c>
      <c r="N150" s="3" t="n">
        <v>295</v>
      </c>
      <c r="O150" s="3" t="n">
        <v>2</v>
      </c>
      <c r="P150" s="14" t="n">
        <v>0.000445</v>
      </c>
      <c r="Q150" s="3" t="s">
        <v>16</v>
      </c>
      <c r="R150" s="3"/>
    </row>
    <row r="151" customFormat="false" ht="15" hidden="false" customHeight="false" outlineLevel="0" collapsed="false">
      <c r="A151" s="3" t="s">
        <v>16</v>
      </c>
      <c r="B151" s="3" t="n">
        <v>22</v>
      </c>
      <c r="C151" s="3" t="s">
        <v>156</v>
      </c>
      <c r="D151" s="3" t="n">
        <v>2</v>
      </c>
      <c r="E151" s="3" t="s">
        <v>58</v>
      </c>
      <c r="F151" s="3" t="str">
        <f aca="false">IF(D151="","none",IF(D151&lt;=Settings!$B$3,"simple",IF(D151&lt;=Settings!$B$4,"coding","critical")))</f>
        <v>simple</v>
      </c>
      <c r="G151" s="3" t="n">
        <f aca="false">INDEX(Prompts!$D$2:$D$200,MATCH($B151,Prompts!$A$2:$A$200,0))</f>
        <v>4</v>
      </c>
      <c r="H151" s="3" t="n">
        <f aca="false">INDEX(Prompts!$E$2:$E$200,MATCH($B151,Prompts!$A$2:$A$200,0))</f>
        <v>6</v>
      </c>
      <c r="I151" s="3" t="n">
        <f aca="false">IF(D151="",0,IF(OR(F151=IF(G151&lt;=Settings!$B$3,"simple",IF(G151&lt;=Settings!$B$4,"coding","critical")),F151=IF(H151&lt;=Settings!$B$3,"simple",IF(H151&lt;=Settings!$B$4,"coding","critical"))),1,0))</f>
        <v>0</v>
      </c>
      <c r="J151" s="3" t="n">
        <f aca="false">IF(D151="",0,IF(AND(D151&gt;=G151,D151&lt;=H151),1,0))</f>
        <v>0</v>
      </c>
      <c r="K151" s="3" t="n">
        <f aca="false">IF(E151=INDEX(Prompts!$F$2:$F$200,MATCH($B151,Prompts!$A$2:$A$200,0)),1,0)</f>
        <v>1</v>
      </c>
      <c r="L151" s="3" t="n">
        <f aca="false">IF(AND(G151&gt;Settings!$B$4,OR(D151="",D151&lt;=Settings!$B$4)),1,0)</f>
        <v>0</v>
      </c>
      <c r="M151" s="3" t="n">
        <v>6.21</v>
      </c>
      <c r="N151" s="3" t="n">
        <v>297</v>
      </c>
      <c r="O151" s="3" t="n">
        <v>2</v>
      </c>
      <c r="P151" s="14" t="n">
        <v>0.000449</v>
      </c>
      <c r="Q151" s="3" t="s">
        <v>16</v>
      </c>
      <c r="R151" s="3"/>
    </row>
    <row r="152" customFormat="false" ht="15" hidden="false" customHeight="false" outlineLevel="0" collapsed="false">
      <c r="A152" s="3" t="s">
        <v>16</v>
      </c>
      <c r="B152" s="3" t="n">
        <v>23</v>
      </c>
      <c r="C152" s="3" t="s">
        <v>138</v>
      </c>
      <c r="D152" s="3" t="n">
        <v>5</v>
      </c>
      <c r="E152" s="3" t="s">
        <v>49</v>
      </c>
      <c r="F152" s="3" t="str">
        <f aca="false">IF(D152="","none",IF(D152&lt;=Settings!$B$3,"simple",IF(D152&lt;=Settings!$B$4,"coding","critical")))</f>
        <v>coding</v>
      </c>
      <c r="G152" s="3" t="n">
        <f aca="false">INDEX(Prompts!$D$2:$D$200,MATCH($B152,Prompts!$A$2:$A$200,0))</f>
        <v>5</v>
      </c>
      <c r="H152" s="3" t="n">
        <f aca="false">INDEX(Prompts!$E$2:$E$200,MATCH($B152,Prompts!$A$2:$A$200,0))</f>
        <v>6</v>
      </c>
      <c r="I152" s="3" t="n">
        <f aca="false">IF(D152="",0,IF(OR(F152=IF(G152&lt;=Settings!$B$3,"simple",IF(G152&lt;=Settings!$B$4,"coding","critical")),F152=IF(H152&lt;=Settings!$B$3,"simple",IF(H152&lt;=Settings!$B$4,"coding","critical"))),1,0))</f>
        <v>1</v>
      </c>
      <c r="J152" s="3" t="n">
        <f aca="false">IF(D152="",0,IF(AND(D152&gt;=G152,D152&lt;=H152),1,0))</f>
        <v>1</v>
      </c>
      <c r="K152" s="3" t="n">
        <f aca="false">IF(E152=INDEX(Prompts!$F$2:$F$200,MATCH($B152,Prompts!$A$2:$A$200,0)),1,0)</f>
        <v>1</v>
      </c>
      <c r="L152" s="3" t="n">
        <f aca="false">IF(AND(G152&gt;Settings!$B$4,OR(D152="",D152&lt;=Settings!$B$4)),1,0)</f>
        <v>0</v>
      </c>
      <c r="M152" s="3" t="n">
        <v>4.36</v>
      </c>
      <c r="N152" s="3" t="n">
        <v>302</v>
      </c>
      <c r="O152" s="3" t="n">
        <v>2</v>
      </c>
      <c r="P152" s="14" t="n">
        <v>0.000456</v>
      </c>
      <c r="Q152" s="3" t="s">
        <v>16</v>
      </c>
      <c r="R152" s="3"/>
    </row>
    <row r="153" customFormat="false" ht="15" hidden="false" customHeight="false" outlineLevel="0" collapsed="false">
      <c r="A153" s="3" t="s">
        <v>16</v>
      </c>
      <c r="B153" s="3" t="n">
        <v>24</v>
      </c>
      <c r="C153" s="3" t="s">
        <v>140</v>
      </c>
      <c r="D153" s="3" t="n">
        <v>6</v>
      </c>
      <c r="E153" s="3" t="s">
        <v>49</v>
      </c>
      <c r="F153" s="3" t="str">
        <f aca="false">IF(D153="","none",IF(D153&lt;=Settings!$B$3,"simple",IF(D153&lt;=Settings!$B$4,"coding","critical")))</f>
        <v>coding</v>
      </c>
      <c r="G153" s="3" t="n">
        <f aca="false">INDEX(Prompts!$D$2:$D$200,MATCH($B153,Prompts!$A$2:$A$200,0))</f>
        <v>5</v>
      </c>
      <c r="H153" s="3" t="n">
        <f aca="false">INDEX(Prompts!$E$2:$E$200,MATCH($B153,Prompts!$A$2:$A$200,0))</f>
        <v>7</v>
      </c>
      <c r="I153" s="3" t="n">
        <f aca="false">IF(D153="",0,IF(OR(F153=IF(G153&lt;=Settings!$B$3,"simple",IF(G153&lt;=Settings!$B$4,"coding","critical")),F153=IF(H153&lt;=Settings!$B$3,"simple",IF(H153&lt;=Settings!$B$4,"coding","critical"))),1,0))</f>
        <v>1</v>
      </c>
      <c r="J153" s="3" t="n">
        <f aca="false">IF(D153="",0,IF(AND(D153&gt;=G153,D153&lt;=H153),1,0))</f>
        <v>1</v>
      </c>
      <c r="K153" s="3" t="n">
        <f aca="false">IF(E153=INDEX(Prompts!$F$2:$F$200,MATCH($B153,Prompts!$A$2:$A$200,0)),1,0)</f>
        <v>1</v>
      </c>
      <c r="L153" s="3" t="n">
        <f aca="false">IF(AND(G153&gt;Settings!$B$4,OR(D153="",D153&lt;=Settings!$B$4)),1,0)</f>
        <v>0</v>
      </c>
      <c r="M153" s="3" t="n">
        <v>5.49</v>
      </c>
      <c r="N153" s="3" t="n">
        <v>299</v>
      </c>
      <c r="O153" s="3" t="n">
        <v>2</v>
      </c>
      <c r="P153" s="14" t="n">
        <v>0.000452</v>
      </c>
      <c r="Q153" s="3" t="s">
        <v>16</v>
      </c>
      <c r="R153" s="3"/>
    </row>
    <row r="154" customFormat="false" ht="15" hidden="false" customHeight="false" outlineLevel="0" collapsed="false">
      <c r="A154" s="3" t="s">
        <v>16</v>
      </c>
      <c r="B154" s="3" t="n">
        <v>25</v>
      </c>
      <c r="C154" s="3" t="s">
        <v>138</v>
      </c>
      <c r="D154" s="3" t="n">
        <v>5</v>
      </c>
      <c r="E154" s="3" t="s">
        <v>49</v>
      </c>
      <c r="F154" s="3" t="str">
        <f aca="false">IF(D154="","none",IF(D154&lt;=Settings!$B$3,"simple",IF(D154&lt;=Settings!$B$4,"coding","critical")))</f>
        <v>coding</v>
      </c>
      <c r="G154" s="3" t="n">
        <f aca="false">INDEX(Prompts!$D$2:$D$200,MATCH($B154,Prompts!$A$2:$A$200,0))</f>
        <v>5</v>
      </c>
      <c r="H154" s="3" t="n">
        <f aca="false">INDEX(Prompts!$E$2:$E$200,MATCH($B154,Prompts!$A$2:$A$200,0))</f>
        <v>7</v>
      </c>
      <c r="I154" s="3" t="n">
        <f aca="false">IF(D154="",0,IF(OR(F154=IF(G154&lt;=Settings!$B$3,"simple",IF(G154&lt;=Settings!$B$4,"coding","critical")),F154=IF(H154&lt;=Settings!$B$3,"simple",IF(H154&lt;=Settings!$B$4,"coding","critical"))),1,0))</f>
        <v>1</v>
      </c>
      <c r="J154" s="3" t="n">
        <f aca="false">IF(D154="",0,IF(AND(D154&gt;=G154,D154&lt;=H154),1,0))</f>
        <v>1</v>
      </c>
      <c r="K154" s="3" t="n">
        <f aca="false">IF(E154=INDEX(Prompts!$F$2:$F$200,MATCH($B154,Prompts!$A$2:$A$200,0)),1,0)</f>
        <v>1</v>
      </c>
      <c r="L154" s="3" t="n">
        <f aca="false">IF(AND(G154&gt;Settings!$B$4,OR(D154="",D154&lt;=Settings!$B$4)),1,0)</f>
        <v>0</v>
      </c>
      <c r="M154" s="3" t="n">
        <v>4.67</v>
      </c>
      <c r="N154" s="3" t="n">
        <v>306</v>
      </c>
      <c r="O154" s="3" t="n">
        <v>2</v>
      </c>
      <c r="P154" s="14" t="n">
        <v>0.000462</v>
      </c>
      <c r="Q154" s="3" t="s">
        <v>16</v>
      </c>
      <c r="R154" s="3"/>
    </row>
    <row r="155" customFormat="false" ht="15" hidden="false" customHeight="false" outlineLevel="0" collapsed="false">
      <c r="A155" s="3" t="s">
        <v>16</v>
      </c>
      <c r="B155" s="3" t="n">
        <v>26</v>
      </c>
      <c r="C155" s="3" t="s">
        <v>138</v>
      </c>
      <c r="D155" s="3" t="n">
        <v>5</v>
      </c>
      <c r="E155" s="3" t="s">
        <v>49</v>
      </c>
      <c r="F155" s="3" t="str">
        <f aca="false">IF(D155="","none",IF(D155&lt;=Settings!$B$3,"simple",IF(D155&lt;=Settings!$B$4,"coding","critical")))</f>
        <v>coding</v>
      </c>
      <c r="G155" s="3" t="n">
        <f aca="false">INDEX(Prompts!$D$2:$D$200,MATCH($B155,Prompts!$A$2:$A$200,0))</f>
        <v>5</v>
      </c>
      <c r="H155" s="3" t="n">
        <f aca="false">INDEX(Prompts!$E$2:$E$200,MATCH($B155,Prompts!$A$2:$A$200,0))</f>
        <v>6</v>
      </c>
      <c r="I155" s="3" t="n">
        <f aca="false">IF(D155="",0,IF(OR(F155=IF(G155&lt;=Settings!$B$3,"simple",IF(G155&lt;=Settings!$B$4,"coding","critical")),F155=IF(H155&lt;=Settings!$B$3,"simple",IF(H155&lt;=Settings!$B$4,"coding","critical"))),1,0))</f>
        <v>1</v>
      </c>
      <c r="J155" s="3" t="n">
        <f aca="false">IF(D155="",0,IF(AND(D155&gt;=G155,D155&lt;=H155),1,0))</f>
        <v>1</v>
      </c>
      <c r="K155" s="3" t="n">
        <f aca="false">IF(E155=INDEX(Prompts!$F$2:$F$200,MATCH($B155,Prompts!$A$2:$A$200,0)),1,0)</f>
        <v>1</v>
      </c>
      <c r="L155" s="3" t="n">
        <f aca="false">IF(AND(G155&gt;Settings!$B$4,OR(D155="",D155&lt;=Settings!$B$4)),1,0)</f>
        <v>0</v>
      </c>
      <c r="M155" s="3" t="n">
        <v>5.85</v>
      </c>
      <c r="N155" s="3" t="n">
        <v>295</v>
      </c>
      <c r="O155" s="3" t="n">
        <v>2</v>
      </c>
      <c r="P155" s="14" t="n">
        <v>0.000445</v>
      </c>
      <c r="Q155" s="3" t="s">
        <v>16</v>
      </c>
      <c r="R155" s="3"/>
    </row>
    <row r="156" customFormat="false" ht="15" hidden="false" customHeight="false" outlineLevel="0" collapsed="false">
      <c r="A156" s="3" t="s">
        <v>16</v>
      </c>
      <c r="B156" s="3" t="n">
        <v>27</v>
      </c>
      <c r="C156" s="3" t="s">
        <v>157</v>
      </c>
      <c r="D156" s="3" t="n">
        <v>7</v>
      </c>
      <c r="E156" s="3" t="s">
        <v>49</v>
      </c>
      <c r="F156" s="3" t="str">
        <f aca="false">IF(D156="","none",IF(D156&lt;=Settings!$B$3,"simple",IF(D156&lt;=Settings!$B$4,"coding","critical")))</f>
        <v>coding</v>
      </c>
      <c r="G156" s="3" t="n">
        <f aca="false">INDEX(Prompts!$D$2:$D$200,MATCH($B156,Prompts!$A$2:$A$200,0))</f>
        <v>7</v>
      </c>
      <c r="H156" s="3" t="n">
        <f aca="false">INDEX(Prompts!$E$2:$E$200,MATCH($B156,Prompts!$A$2:$A$200,0))</f>
        <v>9</v>
      </c>
      <c r="I156" s="3" t="n">
        <f aca="false">IF(D156="",0,IF(OR(F156=IF(G156&lt;=Settings!$B$3,"simple",IF(G156&lt;=Settings!$B$4,"coding","critical")),F156=IF(H156&lt;=Settings!$B$3,"simple",IF(H156&lt;=Settings!$B$4,"coding","critical"))),1,0))</f>
        <v>1</v>
      </c>
      <c r="J156" s="3" t="n">
        <f aca="false">IF(D156="",0,IF(AND(D156&gt;=G156,D156&lt;=H156),1,0))</f>
        <v>1</v>
      </c>
      <c r="K156" s="3" t="n">
        <f aca="false">IF(E156=INDEX(Prompts!$F$2:$F$200,MATCH($B156,Prompts!$A$2:$A$200,0)),1,0)</f>
        <v>1</v>
      </c>
      <c r="L156" s="3" t="n">
        <f aca="false">IF(AND(G156&gt;Settings!$B$4,OR(D156="",D156&lt;=Settings!$B$4)),1,0)</f>
        <v>0</v>
      </c>
      <c r="M156" s="3" t="n">
        <v>3.61</v>
      </c>
      <c r="N156" s="3" t="n">
        <v>300</v>
      </c>
      <c r="O156" s="3" t="n">
        <v>2</v>
      </c>
      <c r="P156" s="14" t="n">
        <v>0.000453</v>
      </c>
      <c r="Q156" s="3" t="s">
        <v>16</v>
      </c>
      <c r="R156" s="3"/>
    </row>
    <row r="157" customFormat="false" ht="15" hidden="false" customHeight="false" outlineLevel="0" collapsed="false">
      <c r="A157" s="3" t="s">
        <v>16</v>
      </c>
      <c r="B157" s="3" t="n">
        <v>28</v>
      </c>
      <c r="C157" s="3" t="s">
        <v>158</v>
      </c>
      <c r="D157" s="3" t="n">
        <v>8</v>
      </c>
      <c r="E157" s="3" t="s">
        <v>53</v>
      </c>
      <c r="F157" s="3" t="str">
        <f aca="false">IF(D157="","none",IF(D157&lt;=Settings!$B$3,"simple",IF(D157&lt;=Settings!$B$4,"coding","critical")))</f>
        <v>critical</v>
      </c>
      <c r="G157" s="3" t="n">
        <f aca="false">INDEX(Prompts!$D$2:$D$200,MATCH($B157,Prompts!$A$2:$A$200,0))</f>
        <v>7</v>
      </c>
      <c r="H157" s="3" t="n">
        <f aca="false">INDEX(Prompts!$E$2:$E$200,MATCH($B157,Prompts!$A$2:$A$200,0))</f>
        <v>9</v>
      </c>
      <c r="I157" s="3" t="n">
        <f aca="false">IF(D157="",0,IF(OR(F157=IF(G157&lt;=Settings!$B$3,"simple",IF(G157&lt;=Settings!$B$4,"coding","critical")),F157=IF(H157&lt;=Settings!$B$3,"simple",IF(H157&lt;=Settings!$B$4,"coding","critical"))),1,0))</f>
        <v>1</v>
      </c>
      <c r="J157" s="3" t="n">
        <f aca="false">IF(D157="",0,IF(AND(D157&gt;=G157,D157&lt;=H157),1,0))</f>
        <v>1</v>
      </c>
      <c r="K157" s="3" t="n">
        <f aca="false">IF(E157=INDEX(Prompts!$F$2:$F$200,MATCH($B157,Prompts!$A$2:$A$200,0)),1,0)</f>
        <v>1</v>
      </c>
      <c r="L157" s="3" t="n">
        <f aca="false">IF(AND(G157&gt;Settings!$B$4,OR(D157="",D157&lt;=Settings!$B$4)),1,0)</f>
        <v>0</v>
      </c>
      <c r="M157" s="3" t="n">
        <v>2.96</v>
      </c>
      <c r="N157" s="3" t="n">
        <v>310</v>
      </c>
      <c r="O157" s="3" t="n">
        <v>2</v>
      </c>
      <c r="P157" s="14" t="n">
        <v>0.000468</v>
      </c>
      <c r="Q157" s="3" t="s">
        <v>16</v>
      </c>
      <c r="R157" s="3"/>
    </row>
    <row r="158" customFormat="false" ht="15" hidden="false" customHeight="false" outlineLevel="0" collapsed="false">
      <c r="A158" s="3" t="s">
        <v>16</v>
      </c>
      <c r="B158" s="3" t="n">
        <v>29</v>
      </c>
      <c r="C158" s="3" t="s">
        <v>148</v>
      </c>
      <c r="D158" s="3" t="n">
        <v>9</v>
      </c>
      <c r="E158" s="3" t="s">
        <v>49</v>
      </c>
      <c r="F158" s="3" t="str">
        <f aca="false">IF(D158="","none",IF(D158&lt;=Settings!$B$3,"simple",IF(D158&lt;=Settings!$B$4,"coding","critical")))</f>
        <v>critical</v>
      </c>
      <c r="G158" s="3" t="n">
        <f aca="false">INDEX(Prompts!$D$2:$D$200,MATCH($B158,Prompts!$A$2:$A$200,0))</f>
        <v>8</v>
      </c>
      <c r="H158" s="3" t="n">
        <f aca="false">INDEX(Prompts!$E$2:$E$200,MATCH($B158,Prompts!$A$2:$A$200,0))</f>
        <v>10</v>
      </c>
      <c r="I158" s="3" t="n">
        <f aca="false">IF(D158="",0,IF(OR(F158=IF(G158&lt;=Settings!$B$3,"simple",IF(G158&lt;=Settings!$B$4,"coding","critical")),F158=IF(H158&lt;=Settings!$B$3,"simple",IF(H158&lt;=Settings!$B$4,"coding","critical"))),1,0))</f>
        <v>1</v>
      </c>
      <c r="J158" s="3" t="n">
        <f aca="false">IF(D158="",0,IF(AND(D158&gt;=G158,D158&lt;=H158),1,0))</f>
        <v>1</v>
      </c>
      <c r="K158" s="3" t="n">
        <f aca="false">IF(E158=INDEX(Prompts!$F$2:$F$200,MATCH($B158,Prompts!$A$2:$A$200,0)),1,0)</f>
        <v>1</v>
      </c>
      <c r="L158" s="3" t="n">
        <f aca="false">IF(AND(G158&gt;Settings!$B$4,OR(D158="",D158&lt;=Settings!$B$4)),1,0)</f>
        <v>0</v>
      </c>
      <c r="M158" s="3" t="n">
        <v>4.4</v>
      </c>
      <c r="N158" s="3" t="n">
        <v>308</v>
      </c>
      <c r="O158" s="3" t="n">
        <v>2</v>
      </c>
      <c r="P158" s="14" t="n">
        <v>0.000465</v>
      </c>
      <c r="Q158" s="3" t="s">
        <v>16</v>
      </c>
      <c r="R158" s="3"/>
    </row>
    <row r="159" customFormat="false" ht="15" hidden="false" customHeight="false" outlineLevel="0" collapsed="false">
      <c r="A159" s="3" t="s">
        <v>16</v>
      </c>
      <c r="B159" s="3" t="n">
        <v>30</v>
      </c>
      <c r="C159" s="3" t="s">
        <v>149</v>
      </c>
      <c r="D159" s="3" t="n">
        <v>9</v>
      </c>
      <c r="E159" s="3" t="s">
        <v>69</v>
      </c>
      <c r="F159" s="3" t="str">
        <f aca="false">IF(D159="","none",IF(D159&lt;=Settings!$B$3,"simple",IF(D159&lt;=Settings!$B$4,"coding","critical")))</f>
        <v>critical</v>
      </c>
      <c r="G159" s="3" t="n">
        <f aca="false">INDEX(Prompts!$D$2:$D$200,MATCH($B159,Prompts!$A$2:$A$200,0))</f>
        <v>9</v>
      </c>
      <c r="H159" s="3" t="n">
        <f aca="false">INDEX(Prompts!$E$2:$E$200,MATCH($B159,Prompts!$A$2:$A$200,0))</f>
        <v>10</v>
      </c>
      <c r="I159" s="3" t="n">
        <f aca="false">IF(D159="",0,IF(OR(F159=IF(G159&lt;=Settings!$B$3,"simple",IF(G159&lt;=Settings!$B$4,"coding","critical")),F159=IF(H159&lt;=Settings!$B$3,"simple",IF(H159&lt;=Settings!$B$4,"coding","critical"))),1,0))</f>
        <v>1</v>
      </c>
      <c r="J159" s="3" t="n">
        <f aca="false">IF(D159="",0,IF(AND(D159&gt;=G159,D159&lt;=H159),1,0))</f>
        <v>1</v>
      </c>
      <c r="K159" s="3" t="n">
        <f aca="false">IF(E159=INDEX(Prompts!$F$2:$F$200,MATCH($B159,Prompts!$A$2:$A$200,0)),1,0)</f>
        <v>0</v>
      </c>
      <c r="L159" s="3" t="n">
        <f aca="false">IF(AND(G159&gt;Settings!$B$4,OR(D159="",D159&lt;=Settings!$B$4)),1,0)</f>
        <v>0</v>
      </c>
      <c r="M159" s="3" t="n">
        <v>7.15</v>
      </c>
      <c r="N159" s="3" t="n">
        <v>299</v>
      </c>
      <c r="O159" s="3" t="n">
        <v>2</v>
      </c>
      <c r="P159" s="14" t="n">
        <v>0.000452</v>
      </c>
      <c r="Q159" s="3" t="s">
        <v>16</v>
      </c>
      <c r="R159" s="3"/>
    </row>
    <row r="160" customFormat="false" ht="15" hidden="false" customHeight="false" outlineLevel="0" collapsed="false">
      <c r="A160" s="3" t="s">
        <v>16</v>
      </c>
      <c r="B160" s="3" t="n">
        <v>31</v>
      </c>
      <c r="C160" s="3" t="s">
        <v>148</v>
      </c>
      <c r="D160" s="3" t="n">
        <v>9</v>
      </c>
      <c r="E160" s="3" t="s">
        <v>49</v>
      </c>
      <c r="F160" s="3" t="str">
        <f aca="false">IF(D160="","none",IF(D160&lt;=Settings!$B$3,"simple",IF(D160&lt;=Settings!$B$4,"coding","critical")))</f>
        <v>critical</v>
      </c>
      <c r="G160" s="3" t="n">
        <f aca="false">INDEX(Prompts!$D$2:$D$200,MATCH($B160,Prompts!$A$2:$A$200,0))</f>
        <v>9</v>
      </c>
      <c r="H160" s="3" t="n">
        <f aca="false">INDEX(Prompts!$E$2:$E$200,MATCH($B160,Prompts!$A$2:$A$200,0))</f>
        <v>10</v>
      </c>
      <c r="I160" s="3" t="n">
        <f aca="false">IF(D160="",0,IF(OR(F160=IF(G160&lt;=Settings!$B$3,"simple",IF(G160&lt;=Settings!$B$4,"coding","critical")),F160=IF(H160&lt;=Settings!$B$3,"simple",IF(H160&lt;=Settings!$B$4,"coding","critical"))),1,0))</f>
        <v>1</v>
      </c>
      <c r="J160" s="3" t="n">
        <f aca="false">IF(D160="",0,IF(AND(D160&gt;=G160,D160&lt;=H160),1,0))</f>
        <v>1</v>
      </c>
      <c r="K160" s="3" t="n">
        <f aca="false">IF(E160=INDEX(Prompts!$F$2:$F$200,MATCH($B160,Prompts!$A$2:$A$200,0)),1,0)</f>
        <v>0</v>
      </c>
      <c r="L160" s="3" t="n">
        <f aca="false">IF(AND(G160&gt;Settings!$B$4,OR(D160="",D160&lt;=Settings!$B$4)),1,0)</f>
        <v>0</v>
      </c>
      <c r="M160" s="3" t="n">
        <v>13.57</v>
      </c>
      <c r="N160" s="3" t="n">
        <v>302</v>
      </c>
      <c r="O160" s="3" t="n">
        <v>2</v>
      </c>
      <c r="P160" s="14" t="n">
        <v>0.000456</v>
      </c>
      <c r="Q160" s="3" t="s">
        <v>16</v>
      </c>
      <c r="R160" s="3"/>
    </row>
    <row r="161" customFormat="false" ht="15" hidden="false" customHeight="false" outlineLevel="0" collapsed="false">
      <c r="A161" s="3" t="s">
        <v>16</v>
      </c>
      <c r="B161" s="3" t="n">
        <v>32</v>
      </c>
      <c r="C161" s="3" t="s">
        <v>148</v>
      </c>
      <c r="D161" s="3" t="n">
        <v>9</v>
      </c>
      <c r="E161" s="3" t="s">
        <v>49</v>
      </c>
      <c r="F161" s="3" t="str">
        <f aca="false">IF(D161="","none",IF(D161&lt;=Settings!$B$3,"simple",IF(D161&lt;=Settings!$B$4,"coding","critical")))</f>
        <v>critical</v>
      </c>
      <c r="G161" s="3" t="n">
        <f aca="false">INDEX(Prompts!$D$2:$D$200,MATCH($B161,Prompts!$A$2:$A$200,0))</f>
        <v>9</v>
      </c>
      <c r="H161" s="3" t="n">
        <f aca="false">INDEX(Prompts!$E$2:$E$200,MATCH($B161,Prompts!$A$2:$A$200,0))</f>
        <v>10</v>
      </c>
      <c r="I161" s="3" t="n">
        <f aca="false">IF(D161="",0,IF(OR(F161=IF(G161&lt;=Settings!$B$3,"simple",IF(G161&lt;=Settings!$B$4,"coding","critical")),F161=IF(H161&lt;=Settings!$B$3,"simple",IF(H161&lt;=Settings!$B$4,"coding","critical"))),1,0))</f>
        <v>1</v>
      </c>
      <c r="J161" s="3" t="n">
        <f aca="false">IF(D161="",0,IF(AND(D161&gt;=G161,D161&lt;=H161),1,0))</f>
        <v>1</v>
      </c>
      <c r="K161" s="3" t="n">
        <f aca="false">IF(E161=INDEX(Prompts!$F$2:$F$200,MATCH($B161,Prompts!$A$2:$A$200,0)),1,0)</f>
        <v>1</v>
      </c>
      <c r="L161" s="3" t="n">
        <f aca="false">IF(AND(G161&gt;Settings!$B$4,OR(D161="",D161&lt;=Settings!$B$4)),1,0)</f>
        <v>0</v>
      </c>
      <c r="M161" s="3" t="n">
        <v>5.33</v>
      </c>
      <c r="N161" s="3" t="n">
        <v>317</v>
      </c>
      <c r="O161" s="3" t="n">
        <v>2</v>
      </c>
      <c r="P161" s="14" t="n">
        <v>0.000479</v>
      </c>
      <c r="Q161" s="3" t="s">
        <v>16</v>
      </c>
      <c r="R161" s="3"/>
    </row>
    <row r="162" customFormat="false" ht="15" hidden="false" customHeight="false" outlineLevel="0" collapsed="false">
      <c r="A162" s="3" t="s">
        <v>17</v>
      </c>
      <c r="B162" s="3" t="n">
        <v>1</v>
      </c>
      <c r="C162" s="3" t="s">
        <v>131</v>
      </c>
      <c r="D162" s="3" t="n">
        <v>1</v>
      </c>
      <c r="E162" s="3" t="s">
        <v>49</v>
      </c>
      <c r="F162" s="3" t="str">
        <f aca="false">IF(D162="","none",IF(D162&lt;=Settings!$B$3,"simple",IF(D162&lt;=Settings!$B$4,"coding","critical")))</f>
        <v>simple</v>
      </c>
      <c r="G162" s="3" t="n">
        <f aca="false">INDEX(Prompts!$D$2:$D$200,MATCH($B162,Prompts!$A$2:$A$200,0))</f>
        <v>1</v>
      </c>
      <c r="H162" s="3" t="n">
        <f aca="false">INDEX(Prompts!$E$2:$E$200,MATCH($B162,Prompts!$A$2:$A$200,0))</f>
        <v>2</v>
      </c>
      <c r="I162" s="3" t="n">
        <f aca="false">IF(D162="",0,IF(OR(F162=IF(G162&lt;=Settings!$B$3,"simple",IF(G162&lt;=Settings!$B$4,"coding","critical")),F162=IF(H162&lt;=Settings!$B$3,"simple",IF(H162&lt;=Settings!$B$4,"coding","critical"))),1,0))</f>
        <v>1</v>
      </c>
      <c r="J162" s="3" t="n">
        <f aca="false">IF(D162="",0,IF(AND(D162&gt;=G162,D162&lt;=H162),1,0))</f>
        <v>1</v>
      </c>
      <c r="K162" s="3" t="n">
        <f aca="false">IF(E162=INDEX(Prompts!$F$2:$F$200,MATCH($B162,Prompts!$A$2:$A$200,0)),1,0)</f>
        <v>1</v>
      </c>
      <c r="L162" s="3" t="n">
        <f aca="false">IF(AND(G162&gt;Settings!$B$4,OR(D162="",D162&lt;=Settings!$B$4)),1,0)</f>
        <v>0</v>
      </c>
      <c r="M162" s="3" t="n">
        <v>6.4</v>
      </c>
      <c r="N162" s="3" t="n">
        <v>300</v>
      </c>
      <c r="O162" s="3" t="n">
        <v>85</v>
      </c>
      <c r="P162" s="14" t="n">
        <v>0.000424</v>
      </c>
      <c r="Q162" s="3" t="s">
        <v>17</v>
      </c>
      <c r="R162" s="3"/>
    </row>
    <row r="163" customFormat="false" ht="15" hidden="false" customHeight="false" outlineLevel="0" collapsed="false">
      <c r="A163" s="3" t="s">
        <v>17</v>
      </c>
      <c r="B163" s="3" t="n">
        <v>2</v>
      </c>
      <c r="C163" s="3" t="s">
        <v>128</v>
      </c>
      <c r="D163" s="3" t="n">
        <v>1</v>
      </c>
      <c r="E163" s="3" t="s">
        <v>56</v>
      </c>
      <c r="F163" s="3" t="str">
        <f aca="false">IF(D163="","none",IF(D163&lt;=Settings!$B$3,"simple",IF(D163&lt;=Settings!$B$4,"coding","critical")))</f>
        <v>simple</v>
      </c>
      <c r="G163" s="3" t="n">
        <f aca="false">INDEX(Prompts!$D$2:$D$200,MATCH($B163,Prompts!$A$2:$A$200,0))</f>
        <v>1</v>
      </c>
      <c r="H163" s="3" t="n">
        <f aca="false">INDEX(Prompts!$E$2:$E$200,MATCH($B163,Prompts!$A$2:$A$200,0))</f>
        <v>2</v>
      </c>
      <c r="I163" s="3" t="n">
        <f aca="false">IF(D163="",0,IF(OR(F163=IF(G163&lt;=Settings!$B$3,"simple",IF(G163&lt;=Settings!$B$4,"coding","critical")),F163=IF(H163&lt;=Settings!$B$3,"simple",IF(H163&lt;=Settings!$B$4,"coding","critical"))),1,0))</f>
        <v>1</v>
      </c>
      <c r="J163" s="3" t="n">
        <f aca="false">IF(D163="",0,IF(AND(D163&gt;=G163,D163&lt;=H163),1,0))</f>
        <v>1</v>
      </c>
      <c r="K163" s="3" t="n">
        <f aca="false">IF(E163=INDEX(Prompts!$F$2:$F$200,MATCH($B163,Prompts!$A$2:$A$200,0)),1,0)</f>
        <v>0</v>
      </c>
      <c r="L163" s="3" t="n">
        <f aca="false">IF(AND(G163&gt;Settings!$B$4,OR(D163="",D163&lt;=Settings!$B$4)),1,0)</f>
        <v>0</v>
      </c>
      <c r="M163" s="3" t="n">
        <v>8.9</v>
      </c>
      <c r="N163" s="3" t="n">
        <v>306</v>
      </c>
      <c r="O163" s="3" t="n">
        <v>250</v>
      </c>
      <c r="P163" s="14" t="n">
        <v>0.000612</v>
      </c>
      <c r="Q163" s="3" t="s">
        <v>17</v>
      </c>
      <c r="R163" s="3"/>
    </row>
    <row r="164" customFormat="false" ht="15" hidden="false" customHeight="false" outlineLevel="0" collapsed="false">
      <c r="A164" s="3" t="s">
        <v>17</v>
      </c>
      <c r="B164" s="3" t="n">
        <v>3</v>
      </c>
      <c r="C164" s="3" t="s">
        <v>130</v>
      </c>
      <c r="D164" s="3" t="n">
        <v>2</v>
      </c>
      <c r="E164" s="3" t="s">
        <v>53</v>
      </c>
      <c r="F164" s="3" t="str">
        <f aca="false">IF(D164="","none",IF(D164&lt;=Settings!$B$3,"simple",IF(D164&lt;=Settings!$B$4,"coding","critical")))</f>
        <v>simple</v>
      </c>
      <c r="G164" s="3" t="n">
        <f aca="false">INDEX(Prompts!$D$2:$D$200,MATCH($B164,Prompts!$A$2:$A$200,0))</f>
        <v>1</v>
      </c>
      <c r="H164" s="3" t="n">
        <f aca="false">INDEX(Prompts!$E$2:$E$200,MATCH($B164,Prompts!$A$2:$A$200,0))</f>
        <v>2</v>
      </c>
      <c r="I164" s="3" t="n">
        <f aca="false">IF(D164="",0,IF(OR(F164=IF(G164&lt;=Settings!$B$3,"simple",IF(G164&lt;=Settings!$B$4,"coding","critical")),F164=IF(H164&lt;=Settings!$B$3,"simple",IF(H164&lt;=Settings!$B$4,"coding","critical"))),1,0))</f>
        <v>1</v>
      </c>
      <c r="J164" s="3" t="n">
        <f aca="false">IF(D164="",0,IF(AND(D164&gt;=G164,D164&lt;=H164),1,0))</f>
        <v>1</v>
      </c>
      <c r="K164" s="3" t="n">
        <f aca="false">IF(E164=INDEX(Prompts!$F$2:$F$200,MATCH($B164,Prompts!$A$2:$A$200,0)),1,0)</f>
        <v>1</v>
      </c>
      <c r="L164" s="3" t="n">
        <f aca="false">IF(AND(G164&gt;Settings!$B$4,OR(D164="",D164&lt;=Settings!$B$4)),1,0)</f>
        <v>0</v>
      </c>
      <c r="M164" s="3" t="n">
        <v>8.01</v>
      </c>
      <c r="N164" s="3" t="n">
        <v>349</v>
      </c>
      <c r="O164" s="3" t="n">
        <v>247</v>
      </c>
      <c r="P164" s="14" t="n">
        <v>0.000656</v>
      </c>
      <c r="Q164" s="3" t="s">
        <v>17</v>
      </c>
      <c r="R164" s="3"/>
    </row>
    <row r="165" customFormat="false" ht="15" hidden="false" customHeight="false" outlineLevel="0" collapsed="false">
      <c r="A165" s="3" t="s">
        <v>17</v>
      </c>
      <c r="B165" s="3" t="n">
        <v>4</v>
      </c>
      <c r="C165" s="3" t="s">
        <v>128</v>
      </c>
      <c r="D165" s="3" t="n">
        <v>1</v>
      </c>
      <c r="E165" s="3" t="s">
        <v>56</v>
      </c>
      <c r="F165" s="3" t="str">
        <f aca="false">IF(D165="","none",IF(D165&lt;=Settings!$B$3,"simple",IF(D165&lt;=Settings!$B$4,"coding","critical")))</f>
        <v>simple</v>
      </c>
      <c r="G165" s="3" t="n">
        <f aca="false">INDEX(Prompts!$D$2:$D$200,MATCH($B165,Prompts!$A$2:$A$200,0))</f>
        <v>1</v>
      </c>
      <c r="H165" s="3" t="n">
        <f aca="false">INDEX(Prompts!$E$2:$E$200,MATCH($B165,Prompts!$A$2:$A$200,0))</f>
        <v>2</v>
      </c>
      <c r="I165" s="3" t="n">
        <f aca="false">IF(D165="",0,IF(OR(F165=IF(G165&lt;=Settings!$B$3,"simple",IF(G165&lt;=Settings!$B$4,"coding","critical")),F165=IF(H165&lt;=Settings!$B$3,"simple",IF(H165&lt;=Settings!$B$4,"coding","critical"))),1,0))</f>
        <v>1</v>
      </c>
      <c r="J165" s="3" t="n">
        <f aca="false">IF(D165="",0,IF(AND(D165&gt;=G165,D165&lt;=H165),1,0))</f>
        <v>1</v>
      </c>
      <c r="K165" s="3" t="n">
        <f aca="false">IF(E165=INDEX(Prompts!$F$2:$F$200,MATCH($B165,Prompts!$A$2:$A$200,0)),1,0)</f>
        <v>1</v>
      </c>
      <c r="L165" s="3" t="n">
        <f aca="false">IF(AND(G165&gt;Settings!$B$4,OR(D165="",D165&lt;=Settings!$B$4)),1,0)</f>
        <v>0</v>
      </c>
      <c r="M165" s="3" t="n">
        <v>11.18</v>
      </c>
      <c r="N165" s="3" t="n">
        <v>299</v>
      </c>
      <c r="O165" s="3" t="n">
        <v>334</v>
      </c>
      <c r="P165" s="14" t="n">
        <v>0.000696</v>
      </c>
      <c r="Q165" s="3" t="s">
        <v>17</v>
      </c>
      <c r="R165" s="3"/>
    </row>
    <row r="166" customFormat="false" ht="15" hidden="false" customHeight="false" outlineLevel="0" collapsed="false">
      <c r="A166" s="3" t="s">
        <v>17</v>
      </c>
      <c r="B166" s="3" t="n">
        <v>5</v>
      </c>
      <c r="C166" s="3" t="s">
        <v>171</v>
      </c>
      <c r="D166" s="3" t="n">
        <v>2</v>
      </c>
      <c r="E166" s="3" t="s">
        <v>56</v>
      </c>
      <c r="F166" s="3" t="str">
        <f aca="false">IF(D166="","none",IF(D166&lt;=Settings!$B$3,"simple",IF(D166&lt;=Settings!$B$4,"coding","critical")))</f>
        <v>simple</v>
      </c>
      <c r="G166" s="3" t="n">
        <f aca="false">INDEX(Prompts!$D$2:$D$200,MATCH($B166,Prompts!$A$2:$A$200,0))</f>
        <v>1</v>
      </c>
      <c r="H166" s="3" t="n">
        <f aca="false">INDEX(Prompts!$E$2:$E$200,MATCH($B166,Prompts!$A$2:$A$200,0))</f>
        <v>2</v>
      </c>
      <c r="I166" s="3" t="n">
        <f aca="false">IF(D166="",0,IF(OR(F166=IF(G166&lt;=Settings!$B$3,"simple",IF(G166&lt;=Settings!$B$4,"coding","critical")),F166=IF(H166&lt;=Settings!$B$3,"simple",IF(H166&lt;=Settings!$B$4,"coding","critical"))),1,0))</f>
        <v>1</v>
      </c>
      <c r="J166" s="3" t="n">
        <f aca="false">IF(D166="",0,IF(AND(D166&gt;=G166,D166&lt;=H166),1,0))</f>
        <v>1</v>
      </c>
      <c r="K166" s="3" t="n">
        <f aca="false">IF(E166=INDEX(Prompts!$F$2:$F$200,MATCH($B166,Prompts!$A$2:$A$200,0)),1,0)</f>
        <v>0</v>
      </c>
      <c r="L166" s="3" t="n">
        <f aca="false">IF(AND(G166&gt;Settings!$B$4,OR(D166="",D166&lt;=Settings!$B$4)),1,0)</f>
        <v>0</v>
      </c>
      <c r="M166" s="3" t="n">
        <v>5.4</v>
      </c>
      <c r="N166" s="3" t="n">
        <v>307</v>
      </c>
      <c r="O166" s="3" t="n">
        <v>59</v>
      </c>
      <c r="P166" s="14" t="n">
        <v>0.000403</v>
      </c>
      <c r="Q166" s="3" t="s">
        <v>17</v>
      </c>
      <c r="R166" s="3"/>
    </row>
    <row r="167" customFormat="false" ht="15" hidden="false" customHeight="false" outlineLevel="0" collapsed="false">
      <c r="A167" s="3" t="s">
        <v>17</v>
      </c>
      <c r="B167" s="3" t="n">
        <v>6</v>
      </c>
      <c r="C167" s="3" t="s">
        <v>128</v>
      </c>
      <c r="D167" s="3" t="n">
        <v>1</v>
      </c>
      <c r="E167" s="3" t="s">
        <v>56</v>
      </c>
      <c r="F167" s="3" t="str">
        <f aca="false">IF(D167="","none",IF(D167&lt;=Settings!$B$3,"simple",IF(D167&lt;=Settings!$B$4,"coding","critical")))</f>
        <v>simple</v>
      </c>
      <c r="G167" s="3" t="n">
        <f aca="false">INDEX(Prompts!$D$2:$D$200,MATCH($B167,Prompts!$A$2:$A$200,0))</f>
        <v>1</v>
      </c>
      <c r="H167" s="3" t="n">
        <f aca="false">INDEX(Prompts!$E$2:$E$200,MATCH($B167,Prompts!$A$2:$A$200,0))</f>
        <v>2</v>
      </c>
      <c r="I167" s="3" t="n">
        <f aca="false">IF(D167="",0,IF(OR(F167=IF(G167&lt;=Settings!$B$3,"simple",IF(G167&lt;=Settings!$B$4,"coding","critical")),F167=IF(H167&lt;=Settings!$B$3,"simple",IF(H167&lt;=Settings!$B$4,"coding","critical"))),1,0))</f>
        <v>1</v>
      </c>
      <c r="J167" s="3" t="n">
        <f aca="false">IF(D167="",0,IF(AND(D167&gt;=G167,D167&lt;=H167),1,0))</f>
        <v>1</v>
      </c>
      <c r="K167" s="3" t="n">
        <f aca="false">IF(E167=INDEX(Prompts!$F$2:$F$200,MATCH($B167,Prompts!$A$2:$A$200,0)),1,0)</f>
        <v>0</v>
      </c>
      <c r="L167" s="3" t="n">
        <f aca="false">IF(AND(G167&gt;Settings!$B$4,OR(D167="",D167&lt;=Settings!$B$4)),1,0)</f>
        <v>0</v>
      </c>
      <c r="M167" s="3" t="n">
        <v>7.74</v>
      </c>
      <c r="N167" s="3" t="n">
        <v>299</v>
      </c>
      <c r="O167" s="3" t="n">
        <v>199</v>
      </c>
      <c r="P167" s="14" t="n">
        <v>0.000548</v>
      </c>
      <c r="Q167" s="3" t="s">
        <v>17</v>
      </c>
      <c r="R167" s="3"/>
    </row>
    <row r="168" customFormat="false" ht="15" hidden="false" customHeight="false" outlineLevel="0" collapsed="false">
      <c r="A168" s="3" t="s">
        <v>17</v>
      </c>
      <c r="B168" s="3" t="n">
        <v>7</v>
      </c>
      <c r="C168" s="3" t="s">
        <v>131</v>
      </c>
      <c r="D168" s="3" t="n">
        <v>1</v>
      </c>
      <c r="E168" s="3" t="s">
        <v>49</v>
      </c>
      <c r="F168" s="3" t="str">
        <f aca="false">IF(D168="","none",IF(D168&lt;=Settings!$B$3,"simple",IF(D168&lt;=Settings!$B$4,"coding","critical")))</f>
        <v>simple</v>
      </c>
      <c r="G168" s="3" t="n">
        <f aca="false">INDEX(Prompts!$D$2:$D$200,MATCH($B168,Prompts!$A$2:$A$200,0))</f>
        <v>1</v>
      </c>
      <c r="H168" s="3" t="n">
        <f aca="false">INDEX(Prompts!$E$2:$E$200,MATCH($B168,Prompts!$A$2:$A$200,0))</f>
        <v>3</v>
      </c>
      <c r="I168" s="3" t="n">
        <f aca="false">IF(D168="",0,IF(OR(F168=IF(G168&lt;=Settings!$B$3,"simple",IF(G168&lt;=Settings!$B$4,"coding","critical")),F168=IF(H168&lt;=Settings!$B$3,"simple",IF(H168&lt;=Settings!$B$4,"coding","critical"))),1,0))</f>
        <v>1</v>
      </c>
      <c r="J168" s="3" t="n">
        <f aca="false">IF(D168="",0,IF(AND(D168&gt;=G168,D168&lt;=H168),1,0))</f>
        <v>1</v>
      </c>
      <c r="K168" s="3" t="n">
        <f aca="false">IF(E168=INDEX(Prompts!$F$2:$F$200,MATCH($B168,Prompts!$A$2:$A$200,0)),1,0)</f>
        <v>1</v>
      </c>
      <c r="L168" s="3" t="n">
        <f aca="false">IF(AND(G168&gt;Settings!$B$4,OR(D168="",D168&lt;=Settings!$B$4)),1,0)</f>
        <v>0</v>
      </c>
      <c r="M168" s="3" t="n">
        <v>5.91</v>
      </c>
      <c r="N168" s="3" t="n">
        <v>345</v>
      </c>
      <c r="O168" s="3" t="n">
        <v>102</v>
      </c>
      <c r="P168" s="14" t="n">
        <v>0.000492</v>
      </c>
      <c r="Q168" s="3" t="s">
        <v>17</v>
      </c>
      <c r="R168" s="3"/>
    </row>
    <row r="169" customFormat="false" ht="15" hidden="false" customHeight="false" outlineLevel="0" collapsed="false">
      <c r="A169" s="3" t="s">
        <v>17</v>
      </c>
      <c r="B169" s="3" t="n">
        <v>8</v>
      </c>
      <c r="C169" s="3" t="s">
        <v>132</v>
      </c>
      <c r="D169" s="3" t="n">
        <v>3</v>
      </c>
      <c r="E169" s="3" t="s">
        <v>49</v>
      </c>
      <c r="F169" s="3" t="str">
        <f aca="false">IF(D169="","none",IF(D169&lt;=Settings!$B$3,"simple",IF(D169&lt;=Settings!$B$4,"coding","critical")))</f>
        <v>simple</v>
      </c>
      <c r="G169" s="3" t="n">
        <f aca="false">INDEX(Prompts!$D$2:$D$200,MATCH($B169,Prompts!$A$2:$A$200,0))</f>
        <v>2</v>
      </c>
      <c r="H169" s="3" t="n">
        <f aca="false">INDEX(Prompts!$E$2:$E$200,MATCH($B169,Prompts!$A$2:$A$200,0))</f>
        <v>3</v>
      </c>
      <c r="I169" s="3" t="n">
        <f aca="false">IF(D169="",0,IF(OR(F169=IF(G169&lt;=Settings!$B$3,"simple",IF(G169&lt;=Settings!$B$4,"coding","critical")),F169=IF(H169&lt;=Settings!$B$3,"simple",IF(H169&lt;=Settings!$B$4,"coding","critical"))),1,0))</f>
        <v>1</v>
      </c>
      <c r="J169" s="3" t="n">
        <f aca="false">IF(D169="",0,IF(AND(D169&gt;=G169,D169&lt;=H169),1,0))</f>
        <v>1</v>
      </c>
      <c r="K169" s="3" t="n">
        <f aca="false">IF(E169=INDEX(Prompts!$F$2:$F$200,MATCH($B169,Prompts!$A$2:$A$200,0)),1,0)</f>
        <v>1</v>
      </c>
      <c r="L169" s="3" t="n">
        <f aca="false">IF(AND(G169&gt;Settings!$B$4,OR(D169="",D169&lt;=Settings!$B$4)),1,0)</f>
        <v>0</v>
      </c>
      <c r="M169" s="3" t="n">
        <v>6.2</v>
      </c>
      <c r="N169" s="3" t="n">
        <v>303</v>
      </c>
      <c r="O169" s="3" t="n">
        <v>126</v>
      </c>
      <c r="P169" s="14" t="n">
        <v>0.000472</v>
      </c>
      <c r="Q169" s="3" t="s">
        <v>17</v>
      </c>
      <c r="R169" s="3"/>
    </row>
    <row r="170" customFormat="false" ht="15" hidden="false" customHeight="false" outlineLevel="0" collapsed="false">
      <c r="A170" s="3" t="s">
        <v>17</v>
      </c>
      <c r="B170" s="3" t="n">
        <v>9</v>
      </c>
      <c r="C170" s="3" t="s">
        <v>132</v>
      </c>
      <c r="D170" s="3" t="n">
        <v>3</v>
      </c>
      <c r="E170" s="3" t="s">
        <v>49</v>
      </c>
      <c r="F170" s="3" t="str">
        <f aca="false">IF(D170="","none",IF(D170&lt;=Settings!$B$3,"simple",IF(D170&lt;=Settings!$B$4,"coding","critical")))</f>
        <v>simple</v>
      </c>
      <c r="G170" s="3" t="n">
        <f aca="false">INDEX(Prompts!$D$2:$D$200,MATCH($B170,Prompts!$A$2:$A$200,0))</f>
        <v>2</v>
      </c>
      <c r="H170" s="3" t="n">
        <f aca="false">INDEX(Prompts!$E$2:$E$200,MATCH($B170,Prompts!$A$2:$A$200,0))</f>
        <v>3</v>
      </c>
      <c r="I170" s="3" t="n">
        <f aca="false">IF(D170="",0,IF(OR(F170=IF(G170&lt;=Settings!$B$3,"simple",IF(G170&lt;=Settings!$B$4,"coding","critical")),F170=IF(H170&lt;=Settings!$B$3,"simple",IF(H170&lt;=Settings!$B$4,"coding","critical"))),1,0))</f>
        <v>1</v>
      </c>
      <c r="J170" s="3" t="n">
        <f aca="false">IF(D170="",0,IF(AND(D170&gt;=G170,D170&lt;=H170),1,0))</f>
        <v>1</v>
      </c>
      <c r="K170" s="3" t="n">
        <f aca="false">IF(E170=INDEX(Prompts!$F$2:$F$200,MATCH($B170,Prompts!$A$2:$A$200,0)),1,0)</f>
        <v>1</v>
      </c>
      <c r="L170" s="3" t="n">
        <f aca="false">IF(AND(G170&gt;Settings!$B$4,OR(D170="",D170&lt;=Settings!$B$4)),1,0)</f>
        <v>0</v>
      </c>
      <c r="M170" s="3" t="n">
        <v>5.12</v>
      </c>
      <c r="N170" s="3" t="n">
        <v>300</v>
      </c>
      <c r="O170" s="3" t="n">
        <v>174</v>
      </c>
      <c r="P170" s="14" t="n">
        <v>0.000521</v>
      </c>
      <c r="Q170" s="3" t="s">
        <v>17</v>
      </c>
      <c r="R170" s="3"/>
    </row>
    <row r="171" customFormat="false" ht="15" hidden="false" customHeight="false" outlineLevel="0" collapsed="false">
      <c r="A171" s="3" t="s">
        <v>17</v>
      </c>
      <c r="B171" s="3" t="n">
        <v>10</v>
      </c>
      <c r="C171" s="3" t="s">
        <v>132</v>
      </c>
      <c r="D171" s="3" t="n">
        <v>3</v>
      </c>
      <c r="E171" s="3" t="s">
        <v>49</v>
      </c>
      <c r="F171" s="3" t="str">
        <f aca="false">IF(D171="","none",IF(D171&lt;=Settings!$B$3,"simple",IF(D171&lt;=Settings!$B$4,"coding","critical")))</f>
        <v>simple</v>
      </c>
      <c r="G171" s="3" t="n">
        <f aca="false">INDEX(Prompts!$D$2:$D$200,MATCH($B171,Prompts!$A$2:$A$200,0))</f>
        <v>2</v>
      </c>
      <c r="H171" s="3" t="n">
        <f aca="false">INDEX(Prompts!$E$2:$E$200,MATCH($B171,Prompts!$A$2:$A$200,0))</f>
        <v>3</v>
      </c>
      <c r="I171" s="3" t="n">
        <f aca="false">IF(D171="",0,IF(OR(F171=IF(G171&lt;=Settings!$B$3,"simple",IF(G171&lt;=Settings!$B$4,"coding","critical")),F171=IF(H171&lt;=Settings!$B$3,"simple",IF(H171&lt;=Settings!$B$4,"coding","critical"))),1,0))</f>
        <v>1</v>
      </c>
      <c r="J171" s="3" t="n">
        <f aca="false">IF(D171="",0,IF(AND(D171&gt;=G171,D171&lt;=H171),1,0))</f>
        <v>1</v>
      </c>
      <c r="K171" s="3" t="n">
        <f aca="false">IF(E171=INDEX(Prompts!$F$2:$F$200,MATCH($B171,Prompts!$A$2:$A$200,0)),1,0)</f>
        <v>1</v>
      </c>
      <c r="L171" s="3" t="n">
        <f aca="false">IF(AND(G171&gt;Settings!$B$4,OR(D171="",D171&lt;=Settings!$B$4)),1,0)</f>
        <v>0</v>
      </c>
      <c r="M171" s="3" t="n">
        <v>6.73</v>
      </c>
      <c r="N171" s="3" t="n">
        <v>299</v>
      </c>
      <c r="O171" s="3" t="n">
        <v>136</v>
      </c>
      <c r="P171" s="14" t="n">
        <v>0.000479</v>
      </c>
      <c r="Q171" s="3" t="s">
        <v>17</v>
      </c>
      <c r="R171" s="3"/>
    </row>
    <row r="172" customFormat="false" ht="15" hidden="false" customHeight="false" outlineLevel="0" collapsed="false">
      <c r="A172" s="3" t="s">
        <v>17</v>
      </c>
      <c r="B172" s="3" t="n">
        <v>11</v>
      </c>
      <c r="C172" s="3" t="s">
        <v>133</v>
      </c>
      <c r="D172" s="3" t="n">
        <v>2</v>
      </c>
      <c r="E172" s="3" t="s">
        <v>69</v>
      </c>
      <c r="F172" s="3" t="str">
        <f aca="false">IF(D172="","none",IF(D172&lt;=Settings!$B$3,"simple",IF(D172&lt;=Settings!$B$4,"coding","critical")))</f>
        <v>simple</v>
      </c>
      <c r="G172" s="3" t="n">
        <f aca="false">INDEX(Prompts!$D$2:$D$200,MATCH($B172,Prompts!$A$2:$A$200,0))</f>
        <v>1</v>
      </c>
      <c r="H172" s="3" t="n">
        <f aca="false">INDEX(Prompts!$E$2:$E$200,MATCH($B172,Prompts!$A$2:$A$200,0))</f>
        <v>3</v>
      </c>
      <c r="I172" s="3" t="n">
        <f aca="false">IF(D172="",0,IF(OR(F172=IF(G172&lt;=Settings!$B$3,"simple",IF(G172&lt;=Settings!$B$4,"coding","critical")),F172=IF(H172&lt;=Settings!$B$3,"simple",IF(H172&lt;=Settings!$B$4,"coding","critical"))),1,0))</f>
        <v>1</v>
      </c>
      <c r="J172" s="3" t="n">
        <f aca="false">IF(D172="",0,IF(AND(D172&gt;=G172,D172&lt;=H172),1,0))</f>
        <v>1</v>
      </c>
      <c r="K172" s="3" t="n">
        <f aca="false">IF(E172=INDEX(Prompts!$F$2:$F$200,MATCH($B172,Prompts!$A$2:$A$200,0)),1,0)</f>
        <v>1</v>
      </c>
      <c r="L172" s="3" t="n">
        <f aca="false">IF(AND(G172&gt;Settings!$B$4,OR(D172="",D172&lt;=Settings!$B$4)),1,0)</f>
        <v>0</v>
      </c>
      <c r="M172" s="3" t="n">
        <v>6.07</v>
      </c>
      <c r="N172" s="3" t="n">
        <v>298</v>
      </c>
      <c r="O172" s="3" t="n">
        <v>167</v>
      </c>
      <c r="P172" s="14" t="n">
        <v>0.000512</v>
      </c>
      <c r="Q172" s="3" t="s">
        <v>17</v>
      </c>
      <c r="R172" s="3"/>
    </row>
    <row r="173" customFormat="false" ht="15" hidden="false" customHeight="false" outlineLevel="0" collapsed="false">
      <c r="A173" s="3" t="s">
        <v>17</v>
      </c>
      <c r="B173" s="3" t="n">
        <v>12</v>
      </c>
      <c r="C173" s="3" t="s">
        <v>134</v>
      </c>
      <c r="D173" s="3" t="n">
        <v>3</v>
      </c>
      <c r="E173" s="3" t="s">
        <v>69</v>
      </c>
      <c r="F173" s="3" t="str">
        <f aca="false">IF(D173="","none",IF(D173&lt;=Settings!$B$3,"simple",IF(D173&lt;=Settings!$B$4,"coding","critical")))</f>
        <v>simple</v>
      </c>
      <c r="G173" s="3" t="n">
        <f aca="false">INDEX(Prompts!$D$2:$D$200,MATCH($B173,Prompts!$A$2:$A$200,0))</f>
        <v>2</v>
      </c>
      <c r="H173" s="3" t="n">
        <f aca="false">INDEX(Prompts!$E$2:$E$200,MATCH($B173,Prompts!$A$2:$A$200,0))</f>
        <v>4</v>
      </c>
      <c r="I173" s="3" t="n">
        <f aca="false">IF(D173="",0,IF(OR(F173=IF(G173&lt;=Settings!$B$3,"simple",IF(G173&lt;=Settings!$B$4,"coding","critical")),F173=IF(H173&lt;=Settings!$B$3,"simple",IF(H173&lt;=Settings!$B$4,"coding","critical"))),1,0))</f>
        <v>1</v>
      </c>
      <c r="J173" s="3" t="n">
        <f aca="false">IF(D173="",0,IF(AND(D173&gt;=G173,D173&lt;=H173),1,0))</f>
        <v>1</v>
      </c>
      <c r="K173" s="3" t="n">
        <f aca="false">IF(E173=INDEX(Prompts!$F$2:$F$200,MATCH($B173,Prompts!$A$2:$A$200,0)),1,0)</f>
        <v>1</v>
      </c>
      <c r="L173" s="3" t="n">
        <f aca="false">IF(AND(G173&gt;Settings!$B$4,OR(D173="",D173&lt;=Settings!$B$4)),1,0)</f>
        <v>0</v>
      </c>
      <c r="M173" s="3" t="n">
        <v>6.1</v>
      </c>
      <c r="N173" s="3" t="n">
        <v>300</v>
      </c>
      <c r="O173" s="3" t="n">
        <v>157</v>
      </c>
      <c r="P173" s="14" t="n">
        <v>0.000503</v>
      </c>
      <c r="Q173" s="3" t="s">
        <v>17</v>
      </c>
      <c r="R173" s="3"/>
    </row>
    <row r="174" customFormat="false" ht="15" hidden="false" customHeight="false" outlineLevel="0" collapsed="false">
      <c r="A174" s="3" t="s">
        <v>17</v>
      </c>
      <c r="B174" s="3" t="n">
        <v>13</v>
      </c>
      <c r="C174" s="3" t="s">
        <v>132</v>
      </c>
      <c r="D174" s="3" t="n">
        <v>3</v>
      </c>
      <c r="E174" s="3" t="s">
        <v>49</v>
      </c>
      <c r="F174" s="3" t="str">
        <f aca="false">IF(D174="","none",IF(D174&lt;=Settings!$B$3,"simple",IF(D174&lt;=Settings!$B$4,"coding","critical")))</f>
        <v>simple</v>
      </c>
      <c r="G174" s="3" t="n">
        <f aca="false">INDEX(Prompts!$D$2:$D$200,MATCH($B174,Prompts!$A$2:$A$200,0))</f>
        <v>3</v>
      </c>
      <c r="H174" s="3" t="n">
        <f aca="false">INDEX(Prompts!$E$2:$E$200,MATCH($B174,Prompts!$A$2:$A$200,0))</f>
        <v>4</v>
      </c>
      <c r="I174" s="3" t="n">
        <f aca="false">IF(D174="",0,IF(OR(F174=IF(G174&lt;=Settings!$B$3,"simple",IF(G174&lt;=Settings!$B$4,"coding","critical")),F174=IF(H174&lt;=Settings!$B$3,"simple",IF(H174&lt;=Settings!$B$4,"coding","critical"))),1,0))</f>
        <v>1</v>
      </c>
      <c r="J174" s="3" t="n">
        <f aca="false">IF(D174="",0,IF(AND(D174&gt;=G174,D174&lt;=H174),1,0))</f>
        <v>1</v>
      </c>
      <c r="K174" s="3" t="n">
        <f aca="false">IF(E174=INDEX(Prompts!$F$2:$F$200,MATCH($B174,Prompts!$A$2:$A$200,0)),1,0)</f>
        <v>1</v>
      </c>
      <c r="L174" s="3" t="n">
        <f aca="false">IF(AND(G174&gt;Settings!$B$4,OR(D174="",D174&lt;=Settings!$B$4)),1,0)</f>
        <v>0</v>
      </c>
      <c r="M174" s="3" t="n">
        <v>6.29</v>
      </c>
      <c r="N174" s="3" t="n">
        <v>303</v>
      </c>
      <c r="O174" s="3" t="n">
        <v>230</v>
      </c>
      <c r="P174" s="14" t="n">
        <v>0.000586</v>
      </c>
      <c r="Q174" s="3" t="s">
        <v>17</v>
      </c>
      <c r="R174" s="3"/>
    </row>
    <row r="175" customFormat="false" ht="15" hidden="false" customHeight="false" outlineLevel="0" collapsed="false">
      <c r="A175" s="3" t="s">
        <v>17</v>
      </c>
      <c r="B175" s="3" t="n">
        <v>14</v>
      </c>
      <c r="C175" s="3" t="s">
        <v>130</v>
      </c>
      <c r="D175" s="3" t="n">
        <v>2</v>
      </c>
      <c r="E175" s="3" t="s">
        <v>53</v>
      </c>
      <c r="F175" s="3" t="str">
        <f aca="false">IF(D175="","none",IF(D175&lt;=Settings!$B$3,"simple",IF(D175&lt;=Settings!$B$4,"coding","critical")))</f>
        <v>simple</v>
      </c>
      <c r="G175" s="3" t="n">
        <f aca="false">INDEX(Prompts!$D$2:$D$200,MATCH($B175,Prompts!$A$2:$A$200,0))</f>
        <v>2</v>
      </c>
      <c r="H175" s="3" t="n">
        <f aca="false">INDEX(Prompts!$E$2:$E$200,MATCH($B175,Prompts!$A$2:$A$200,0))</f>
        <v>4</v>
      </c>
      <c r="I175" s="3" t="n">
        <f aca="false">IF(D175="",0,IF(OR(F175=IF(G175&lt;=Settings!$B$3,"simple",IF(G175&lt;=Settings!$B$4,"coding","critical")),F175=IF(H175&lt;=Settings!$B$3,"simple",IF(H175&lt;=Settings!$B$4,"coding","critical"))),1,0))</f>
        <v>1</v>
      </c>
      <c r="J175" s="3" t="n">
        <f aca="false">IF(D175="",0,IF(AND(D175&gt;=G175,D175&lt;=H175),1,0))</f>
        <v>1</v>
      </c>
      <c r="K175" s="3" t="n">
        <f aca="false">IF(E175=INDEX(Prompts!$F$2:$F$200,MATCH($B175,Prompts!$A$2:$A$200,0)),1,0)</f>
        <v>1</v>
      </c>
      <c r="L175" s="3" t="n">
        <f aca="false">IF(AND(G175&gt;Settings!$B$4,OR(D175="",D175&lt;=Settings!$B$4)),1,0)</f>
        <v>0</v>
      </c>
      <c r="M175" s="3" t="n">
        <v>4.25</v>
      </c>
      <c r="N175" s="3" t="n">
        <v>302</v>
      </c>
      <c r="O175" s="3" t="n">
        <v>139</v>
      </c>
      <c r="P175" s="14" t="n">
        <v>0.000485</v>
      </c>
      <c r="Q175" s="3" t="s">
        <v>17</v>
      </c>
      <c r="R175" s="3"/>
    </row>
    <row r="176" customFormat="false" ht="15" hidden="false" customHeight="false" outlineLevel="0" collapsed="false">
      <c r="A176" s="3" t="s">
        <v>17</v>
      </c>
      <c r="B176" s="3" t="n">
        <v>15</v>
      </c>
      <c r="C176" s="3" t="s">
        <v>132</v>
      </c>
      <c r="D176" s="3" t="n">
        <v>3</v>
      </c>
      <c r="E176" s="3" t="s">
        <v>49</v>
      </c>
      <c r="F176" s="3" t="str">
        <f aca="false">IF(D176="","none",IF(D176&lt;=Settings!$B$3,"simple",IF(D176&lt;=Settings!$B$4,"coding","critical")))</f>
        <v>simple</v>
      </c>
      <c r="G176" s="3" t="n">
        <f aca="false">INDEX(Prompts!$D$2:$D$200,MATCH($B176,Prompts!$A$2:$A$200,0))</f>
        <v>3</v>
      </c>
      <c r="H176" s="3" t="n">
        <f aca="false">INDEX(Prompts!$E$2:$E$200,MATCH($B176,Prompts!$A$2:$A$200,0))</f>
        <v>5</v>
      </c>
      <c r="I176" s="3" t="n">
        <f aca="false">IF(D176="",0,IF(OR(F176=IF(G176&lt;=Settings!$B$3,"simple",IF(G176&lt;=Settings!$B$4,"coding","critical")),F176=IF(H176&lt;=Settings!$B$3,"simple",IF(H176&lt;=Settings!$B$4,"coding","critical"))),1,0))</f>
        <v>1</v>
      </c>
      <c r="J176" s="3" t="n">
        <f aca="false">IF(D176="",0,IF(AND(D176&gt;=G176,D176&lt;=H176),1,0))</f>
        <v>1</v>
      </c>
      <c r="K176" s="3" t="n">
        <f aca="false">IF(E176=INDEX(Prompts!$F$2:$F$200,MATCH($B176,Prompts!$A$2:$A$200,0)),1,0)</f>
        <v>1</v>
      </c>
      <c r="L176" s="3" t="n">
        <f aca="false">IF(AND(G176&gt;Settings!$B$4,OR(D176="",D176&lt;=Settings!$B$4)),1,0)</f>
        <v>0</v>
      </c>
      <c r="M176" s="3" t="n">
        <v>5.74</v>
      </c>
      <c r="N176" s="3" t="n">
        <v>308</v>
      </c>
      <c r="O176" s="3" t="n">
        <v>159</v>
      </c>
      <c r="P176" s="14" t="n">
        <v>0.000514</v>
      </c>
      <c r="Q176" s="3" t="s">
        <v>17</v>
      </c>
      <c r="R176" s="3"/>
    </row>
    <row r="177" customFormat="false" ht="15" hidden="false" customHeight="false" outlineLevel="0" collapsed="false">
      <c r="A177" s="3" t="s">
        <v>17</v>
      </c>
      <c r="B177" s="3" t="n">
        <v>16</v>
      </c>
      <c r="C177" s="3" t="s">
        <v>132</v>
      </c>
      <c r="D177" s="3" t="n">
        <v>3</v>
      </c>
      <c r="E177" s="3" t="s">
        <v>49</v>
      </c>
      <c r="F177" s="3" t="str">
        <f aca="false">IF(D177="","none",IF(D177&lt;=Settings!$B$3,"simple",IF(D177&lt;=Settings!$B$4,"coding","critical")))</f>
        <v>simple</v>
      </c>
      <c r="G177" s="3" t="n">
        <f aca="false">INDEX(Prompts!$D$2:$D$200,MATCH($B177,Prompts!$A$2:$A$200,0))</f>
        <v>3</v>
      </c>
      <c r="H177" s="3" t="n">
        <f aca="false">INDEX(Prompts!$E$2:$E$200,MATCH($B177,Prompts!$A$2:$A$200,0))</f>
        <v>5</v>
      </c>
      <c r="I177" s="3" t="n">
        <f aca="false">IF(D177="",0,IF(OR(F177=IF(G177&lt;=Settings!$B$3,"simple",IF(G177&lt;=Settings!$B$4,"coding","critical")),F177=IF(H177&lt;=Settings!$B$3,"simple",IF(H177&lt;=Settings!$B$4,"coding","critical"))),1,0))</f>
        <v>1</v>
      </c>
      <c r="J177" s="3" t="n">
        <f aca="false">IF(D177="",0,IF(AND(D177&gt;=G177,D177&lt;=H177),1,0))</f>
        <v>1</v>
      </c>
      <c r="K177" s="3" t="n">
        <f aca="false">IF(E177=INDEX(Prompts!$F$2:$F$200,MATCH($B177,Prompts!$A$2:$A$200,0)),1,0)</f>
        <v>1</v>
      </c>
      <c r="L177" s="3" t="n">
        <f aca="false">IF(AND(G177&gt;Settings!$B$4,OR(D177="",D177&lt;=Settings!$B$4)),1,0)</f>
        <v>0</v>
      </c>
      <c r="M177" s="3" t="n">
        <v>6.61</v>
      </c>
      <c r="N177" s="3" t="n">
        <v>310</v>
      </c>
      <c r="O177" s="3" t="n">
        <v>176</v>
      </c>
      <c r="P177" s="14" t="n">
        <v>0.000535</v>
      </c>
      <c r="Q177" s="3" t="s">
        <v>17</v>
      </c>
      <c r="R177" s="3"/>
    </row>
    <row r="178" customFormat="false" ht="15" hidden="false" customHeight="false" outlineLevel="0" collapsed="false">
      <c r="A178" s="3" t="s">
        <v>17</v>
      </c>
      <c r="B178" s="3" t="n">
        <v>17</v>
      </c>
      <c r="C178" s="3" t="s">
        <v>132</v>
      </c>
      <c r="D178" s="3" t="n">
        <v>3</v>
      </c>
      <c r="E178" s="3" t="s">
        <v>49</v>
      </c>
      <c r="F178" s="3" t="str">
        <f aca="false">IF(D178="","none",IF(D178&lt;=Settings!$B$3,"simple",IF(D178&lt;=Settings!$B$4,"coding","critical")))</f>
        <v>simple</v>
      </c>
      <c r="G178" s="3" t="n">
        <f aca="false">INDEX(Prompts!$D$2:$D$200,MATCH($B178,Prompts!$A$2:$A$200,0))</f>
        <v>3</v>
      </c>
      <c r="H178" s="3" t="n">
        <f aca="false">INDEX(Prompts!$E$2:$E$200,MATCH($B178,Prompts!$A$2:$A$200,0))</f>
        <v>5</v>
      </c>
      <c r="I178" s="3" t="n">
        <f aca="false">IF(D178="",0,IF(OR(F178=IF(G178&lt;=Settings!$B$3,"simple",IF(G178&lt;=Settings!$B$4,"coding","critical")),F178=IF(H178&lt;=Settings!$B$3,"simple",IF(H178&lt;=Settings!$B$4,"coding","critical"))),1,0))</f>
        <v>1</v>
      </c>
      <c r="J178" s="3" t="n">
        <f aca="false">IF(D178="",0,IF(AND(D178&gt;=G178,D178&lt;=H178),1,0))</f>
        <v>1</v>
      </c>
      <c r="K178" s="3" t="n">
        <f aca="false">IF(E178=INDEX(Prompts!$F$2:$F$200,MATCH($B178,Prompts!$A$2:$A$200,0)),1,0)</f>
        <v>0</v>
      </c>
      <c r="L178" s="3" t="n">
        <f aca="false">IF(AND(G178&gt;Settings!$B$4,OR(D178="",D178&lt;=Settings!$B$4)),1,0)</f>
        <v>0</v>
      </c>
      <c r="M178" s="3" t="n">
        <v>4.19</v>
      </c>
      <c r="N178" s="3" t="n">
        <v>305</v>
      </c>
      <c r="O178" s="3" t="n">
        <v>197</v>
      </c>
      <c r="P178" s="14" t="n">
        <v>0.000552</v>
      </c>
      <c r="Q178" s="3" t="s">
        <v>17</v>
      </c>
      <c r="R178" s="3"/>
    </row>
    <row r="179" customFormat="false" ht="15" hidden="false" customHeight="false" outlineLevel="0" collapsed="false">
      <c r="A179" s="3" t="s">
        <v>17</v>
      </c>
      <c r="B179" s="3" t="n">
        <v>18</v>
      </c>
      <c r="C179" s="3" t="s">
        <v>132</v>
      </c>
      <c r="D179" s="3" t="n">
        <v>3</v>
      </c>
      <c r="E179" s="3" t="s">
        <v>49</v>
      </c>
      <c r="F179" s="3" t="str">
        <f aca="false">IF(D179="","none",IF(D179&lt;=Settings!$B$3,"simple",IF(D179&lt;=Settings!$B$4,"coding","critical")))</f>
        <v>simple</v>
      </c>
      <c r="G179" s="3" t="n">
        <f aca="false">INDEX(Prompts!$D$2:$D$200,MATCH($B179,Prompts!$A$2:$A$200,0))</f>
        <v>4</v>
      </c>
      <c r="H179" s="3" t="n">
        <f aca="false">INDEX(Prompts!$E$2:$E$200,MATCH($B179,Prompts!$A$2:$A$200,0))</f>
        <v>6</v>
      </c>
      <c r="I179" s="3" t="n">
        <f aca="false">IF(D179="",0,IF(OR(F179=IF(G179&lt;=Settings!$B$3,"simple",IF(G179&lt;=Settings!$B$4,"coding","critical")),F179=IF(H179&lt;=Settings!$B$3,"simple",IF(H179&lt;=Settings!$B$4,"coding","critical"))),1,0))</f>
        <v>0</v>
      </c>
      <c r="J179" s="3" t="n">
        <f aca="false">IF(D179="",0,IF(AND(D179&gt;=G179,D179&lt;=H179),1,0))</f>
        <v>0</v>
      </c>
      <c r="K179" s="3" t="n">
        <f aca="false">IF(E179=INDEX(Prompts!$F$2:$F$200,MATCH($B179,Prompts!$A$2:$A$200,0)),1,0)</f>
        <v>1</v>
      </c>
      <c r="L179" s="3" t="n">
        <f aca="false">IF(AND(G179&gt;Settings!$B$4,OR(D179="",D179&lt;=Settings!$B$4)),1,0)</f>
        <v>0</v>
      </c>
      <c r="M179" s="3" t="n">
        <v>5.65</v>
      </c>
      <c r="N179" s="3" t="n">
        <v>312</v>
      </c>
      <c r="O179" s="3" t="n">
        <v>175</v>
      </c>
      <c r="P179" s="14" t="n">
        <v>0.000536</v>
      </c>
      <c r="Q179" s="3" t="s">
        <v>17</v>
      </c>
      <c r="R179" s="3"/>
    </row>
    <row r="180" customFormat="false" ht="15" hidden="false" customHeight="false" outlineLevel="0" collapsed="false">
      <c r="A180" s="3" t="s">
        <v>17</v>
      </c>
      <c r="B180" s="3" t="n">
        <v>19</v>
      </c>
      <c r="C180" s="3" t="s">
        <v>132</v>
      </c>
      <c r="D180" s="3" t="n">
        <v>3</v>
      </c>
      <c r="E180" s="3" t="s">
        <v>49</v>
      </c>
      <c r="F180" s="3" t="str">
        <f aca="false">IF(D180="","none",IF(D180&lt;=Settings!$B$3,"simple",IF(D180&lt;=Settings!$B$4,"coding","critical")))</f>
        <v>simple</v>
      </c>
      <c r="G180" s="3" t="n">
        <f aca="false">INDEX(Prompts!$D$2:$D$200,MATCH($B180,Prompts!$A$2:$A$200,0))</f>
        <v>4</v>
      </c>
      <c r="H180" s="3" t="n">
        <f aca="false">INDEX(Prompts!$E$2:$E$200,MATCH($B180,Prompts!$A$2:$A$200,0))</f>
        <v>6</v>
      </c>
      <c r="I180" s="3" t="n">
        <f aca="false">IF(D180="",0,IF(OR(F180=IF(G180&lt;=Settings!$B$3,"simple",IF(G180&lt;=Settings!$B$4,"coding","critical")),F180=IF(H180&lt;=Settings!$B$3,"simple",IF(H180&lt;=Settings!$B$4,"coding","critical"))),1,0))</f>
        <v>0</v>
      </c>
      <c r="J180" s="3" t="n">
        <f aca="false">IF(D180="",0,IF(AND(D180&gt;=G180,D180&lt;=H180),1,0))</f>
        <v>0</v>
      </c>
      <c r="K180" s="3" t="n">
        <f aca="false">IF(E180=INDEX(Prompts!$F$2:$F$200,MATCH($B180,Prompts!$A$2:$A$200,0)),1,0)</f>
        <v>1</v>
      </c>
      <c r="L180" s="3" t="n">
        <f aca="false">IF(AND(G180&gt;Settings!$B$4,OR(D180="",D180&lt;=Settings!$B$4)),1,0)</f>
        <v>0</v>
      </c>
      <c r="M180" s="3" t="n">
        <v>4.44</v>
      </c>
      <c r="N180" s="3" t="n">
        <v>308</v>
      </c>
      <c r="O180" s="3" t="n">
        <v>176</v>
      </c>
      <c r="P180" s="14" t="n">
        <v>0.000532</v>
      </c>
      <c r="Q180" s="3" t="s">
        <v>17</v>
      </c>
      <c r="R180" s="3"/>
    </row>
    <row r="181" customFormat="false" ht="15" hidden="false" customHeight="false" outlineLevel="0" collapsed="false">
      <c r="A181" s="3" t="s">
        <v>17</v>
      </c>
      <c r="B181" s="3" t="n">
        <v>20</v>
      </c>
      <c r="C181" s="3" t="s">
        <v>138</v>
      </c>
      <c r="D181" s="3" t="n">
        <v>5</v>
      </c>
      <c r="E181" s="3" t="s">
        <v>49</v>
      </c>
      <c r="F181" s="3" t="str">
        <f aca="false">IF(D181="","none",IF(D181&lt;=Settings!$B$3,"simple",IF(D181&lt;=Settings!$B$4,"coding","critical")))</f>
        <v>coding</v>
      </c>
      <c r="G181" s="3" t="n">
        <f aca="false">INDEX(Prompts!$D$2:$D$200,MATCH($B181,Prompts!$A$2:$A$200,0))</f>
        <v>4</v>
      </c>
      <c r="H181" s="3" t="n">
        <f aca="false">INDEX(Prompts!$E$2:$E$200,MATCH($B181,Prompts!$A$2:$A$200,0))</f>
        <v>6</v>
      </c>
      <c r="I181" s="3" t="n">
        <f aca="false">IF(D181="",0,IF(OR(F181=IF(G181&lt;=Settings!$B$3,"simple",IF(G181&lt;=Settings!$B$4,"coding","critical")),F181=IF(H181&lt;=Settings!$B$3,"simple",IF(H181&lt;=Settings!$B$4,"coding","critical"))),1,0))</f>
        <v>1</v>
      </c>
      <c r="J181" s="3" t="n">
        <f aca="false">IF(D181="",0,IF(AND(D181&gt;=G181,D181&lt;=H181),1,0))</f>
        <v>1</v>
      </c>
      <c r="K181" s="3" t="n">
        <f aca="false">IF(E181=INDEX(Prompts!$F$2:$F$200,MATCH($B181,Prompts!$A$2:$A$200,0)),1,0)</f>
        <v>1</v>
      </c>
      <c r="L181" s="3" t="n">
        <f aca="false">IF(AND(G181&gt;Settings!$B$4,OR(D181="",D181&lt;=Settings!$B$4)),1,0)</f>
        <v>0</v>
      </c>
      <c r="M181" s="3" t="n">
        <v>5.44</v>
      </c>
      <c r="N181" s="3" t="n">
        <v>305</v>
      </c>
      <c r="O181" s="3" t="n">
        <v>186</v>
      </c>
      <c r="P181" s="14" t="n">
        <v>0.00054</v>
      </c>
      <c r="Q181" s="3" t="s">
        <v>17</v>
      </c>
      <c r="R181" s="3"/>
    </row>
    <row r="182" customFormat="false" ht="15" hidden="false" customHeight="false" outlineLevel="0" collapsed="false">
      <c r="A182" s="3" t="s">
        <v>17</v>
      </c>
      <c r="B182" s="3" t="n">
        <v>21</v>
      </c>
      <c r="C182" s="3" t="s">
        <v>172</v>
      </c>
      <c r="D182" s="3" t="n">
        <v>9</v>
      </c>
      <c r="E182" s="3" t="s">
        <v>49</v>
      </c>
      <c r="F182" s="3" t="str">
        <f aca="false">IF(D182="","none",IF(D182&lt;=Settings!$B$3,"simple",IF(D182&lt;=Settings!$B$4,"coding","critical")))</f>
        <v>critical</v>
      </c>
      <c r="G182" s="3" t="n">
        <f aca="false">INDEX(Prompts!$D$2:$D$200,MATCH($B182,Prompts!$A$2:$A$200,0))</f>
        <v>3</v>
      </c>
      <c r="H182" s="3" t="n">
        <f aca="false">INDEX(Prompts!$E$2:$E$200,MATCH($B182,Prompts!$A$2:$A$200,0))</f>
        <v>5</v>
      </c>
      <c r="I182" s="3" t="n">
        <f aca="false">IF(D182="",0,IF(OR(F182=IF(G182&lt;=Settings!$B$3,"simple",IF(G182&lt;=Settings!$B$4,"coding","critical")),F182=IF(H182&lt;=Settings!$B$3,"simple",IF(H182&lt;=Settings!$B$4,"coding","critical"))),1,0))</f>
        <v>0</v>
      </c>
      <c r="J182" s="3" t="n">
        <f aca="false">IF(D182="",0,IF(AND(D182&gt;=G182,D182&lt;=H182),1,0))</f>
        <v>0</v>
      </c>
      <c r="K182" s="3" t="n">
        <f aca="false">IF(E182=INDEX(Prompts!$F$2:$F$200,MATCH($B182,Prompts!$A$2:$A$200,0)),1,0)</f>
        <v>0</v>
      </c>
      <c r="L182" s="3" t="n">
        <f aca="false">IF(AND(G182&gt;Settings!$B$4,OR(D182="",D182&lt;=Settings!$B$4)),1,0)</f>
        <v>0</v>
      </c>
      <c r="M182" s="3" t="n">
        <v>8.22</v>
      </c>
      <c r="N182" s="3" t="n">
        <v>302</v>
      </c>
      <c r="O182" s="3" t="n">
        <v>400</v>
      </c>
      <c r="P182" s="14" t="n">
        <v>0.000772</v>
      </c>
      <c r="Q182" s="3" t="s">
        <v>17</v>
      </c>
      <c r="R182" s="3"/>
    </row>
    <row r="183" customFormat="false" ht="15" hidden="false" customHeight="false" outlineLevel="0" collapsed="false">
      <c r="A183" s="3" t="s">
        <v>17</v>
      </c>
      <c r="B183" s="3" t="n">
        <v>22</v>
      </c>
      <c r="C183" s="3" t="s">
        <v>173</v>
      </c>
      <c r="D183" s="3" t="n">
        <v>1</v>
      </c>
      <c r="E183" s="3" t="s">
        <v>49</v>
      </c>
      <c r="F183" s="3" t="str">
        <f aca="false">IF(D183="","none",IF(D183&lt;=Settings!$B$3,"simple",IF(D183&lt;=Settings!$B$4,"coding","critical")))</f>
        <v>simple</v>
      </c>
      <c r="G183" s="3" t="n">
        <f aca="false">INDEX(Prompts!$D$2:$D$200,MATCH($B183,Prompts!$A$2:$A$200,0))</f>
        <v>4</v>
      </c>
      <c r="H183" s="3" t="n">
        <f aca="false">INDEX(Prompts!$E$2:$E$200,MATCH($B183,Prompts!$A$2:$A$200,0))</f>
        <v>6</v>
      </c>
      <c r="I183" s="3" t="n">
        <f aca="false">IF(D183="",0,IF(OR(F183=IF(G183&lt;=Settings!$B$3,"simple",IF(G183&lt;=Settings!$B$4,"coding","critical")),F183=IF(H183&lt;=Settings!$B$3,"simple",IF(H183&lt;=Settings!$B$4,"coding","critical"))),1,0))</f>
        <v>0</v>
      </c>
      <c r="J183" s="3" t="n">
        <f aca="false">IF(D183="",0,IF(AND(D183&gt;=G183,D183&lt;=H183),1,0))</f>
        <v>0</v>
      </c>
      <c r="K183" s="3" t="n">
        <f aca="false">IF(E183=INDEX(Prompts!$F$2:$F$200,MATCH($B183,Prompts!$A$2:$A$200,0)),1,0)</f>
        <v>0</v>
      </c>
      <c r="L183" s="3" t="n">
        <f aca="false">IF(AND(G183&gt;Settings!$B$4,OR(D183="",D183&lt;=Settings!$B$4)),1,0)</f>
        <v>0</v>
      </c>
      <c r="M183" s="3" t="n">
        <v>7.78</v>
      </c>
      <c r="N183" s="3" t="n">
        <v>303</v>
      </c>
      <c r="O183" s="3" t="n">
        <v>400</v>
      </c>
      <c r="P183" s="14" t="n">
        <v>0.000773</v>
      </c>
      <c r="Q183" s="3" t="s">
        <v>17</v>
      </c>
      <c r="R183" s="3"/>
    </row>
    <row r="184" customFormat="false" ht="15" hidden="false" customHeight="false" outlineLevel="0" collapsed="false">
      <c r="A184" s="3" t="s">
        <v>17</v>
      </c>
      <c r="B184" s="3" t="n">
        <v>23</v>
      </c>
      <c r="C184" s="3" t="s">
        <v>138</v>
      </c>
      <c r="D184" s="3" t="n">
        <v>5</v>
      </c>
      <c r="E184" s="3" t="s">
        <v>49</v>
      </c>
      <c r="F184" s="3" t="str">
        <f aca="false">IF(D184="","none",IF(D184&lt;=Settings!$B$3,"simple",IF(D184&lt;=Settings!$B$4,"coding","critical")))</f>
        <v>coding</v>
      </c>
      <c r="G184" s="3" t="n">
        <f aca="false">INDEX(Prompts!$D$2:$D$200,MATCH($B184,Prompts!$A$2:$A$200,0))</f>
        <v>5</v>
      </c>
      <c r="H184" s="3" t="n">
        <f aca="false">INDEX(Prompts!$E$2:$E$200,MATCH($B184,Prompts!$A$2:$A$200,0))</f>
        <v>6</v>
      </c>
      <c r="I184" s="3" t="n">
        <f aca="false">IF(D184="",0,IF(OR(F184=IF(G184&lt;=Settings!$B$3,"simple",IF(G184&lt;=Settings!$B$4,"coding","critical")),F184=IF(H184&lt;=Settings!$B$3,"simple",IF(H184&lt;=Settings!$B$4,"coding","critical"))),1,0))</f>
        <v>1</v>
      </c>
      <c r="J184" s="3" t="n">
        <f aca="false">IF(D184="",0,IF(AND(D184&gt;=G184,D184&lt;=H184),1,0))</f>
        <v>1</v>
      </c>
      <c r="K184" s="3" t="n">
        <f aca="false">IF(E184=INDEX(Prompts!$F$2:$F$200,MATCH($B184,Prompts!$A$2:$A$200,0)),1,0)</f>
        <v>1</v>
      </c>
      <c r="L184" s="3" t="n">
        <f aca="false">IF(AND(G184&gt;Settings!$B$4,OR(D184="",D184&lt;=Settings!$B$4)),1,0)</f>
        <v>0</v>
      </c>
      <c r="M184" s="3" t="n">
        <v>3.67</v>
      </c>
      <c r="N184" s="3" t="n">
        <v>308</v>
      </c>
      <c r="O184" s="3" t="n">
        <v>154</v>
      </c>
      <c r="P184" s="14" t="n">
        <v>0.000508</v>
      </c>
      <c r="Q184" s="3" t="s">
        <v>17</v>
      </c>
      <c r="R184" s="3"/>
    </row>
    <row r="185" customFormat="false" ht="15" hidden="false" customHeight="false" outlineLevel="0" collapsed="false">
      <c r="A185" s="3" t="s">
        <v>17</v>
      </c>
      <c r="B185" s="3" t="n">
        <v>24</v>
      </c>
      <c r="C185" s="3" t="s">
        <v>138</v>
      </c>
      <c r="D185" s="3" t="n">
        <v>5</v>
      </c>
      <c r="E185" s="3" t="s">
        <v>49</v>
      </c>
      <c r="F185" s="3" t="str">
        <f aca="false">IF(D185="","none",IF(D185&lt;=Settings!$B$3,"simple",IF(D185&lt;=Settings!$B$4,"coding","critical")))</f>
        <v>coding</v>
      </c>
      <c r="G185" s="3" t="n">
        <f aca="false">INDEX(Prompts!$D$2:$D$200,MATCH($B185,Prompts!$A$2:$A$200,0))</f>
        <v>5</v>
      </c>
      <c r="H185" s="3" t="n">
        <f aca="false">INDEX(Prompts!$E$2:$E$200,MATCH($B185,Prompts!$A$2:$A$200,0))</f>
        <v>7</v>
      </c>
      <c r="I185" s="3" t="n">
        <f aca="false">IF(D185="",0,IF(OR(F185=IF(G185&lt;=Settings!$B$3,"simple",IF(G185&lt;=Settings!$B$4,"coding","critical")),F185=IF(H185&lt;=Settings!$B$3,"simple",IF(H185&lt;=Settings!$B$4,"coding","critical"))),1,0))</f>
        <v>1</v>
      </c>
      <c r="J185" s="3" t="n">
        <f aca="false">IF(D185="",0,IF(AND(D185&gt;=G185,D185&lt;=H185),1,0))</f>
        <v>1</v>
      </c>
      <c r="K185" s="3" t="n">
        <f aca="false">IF(E185=INDEX(Prompts!$F$2:$F$200,MATCH($B185,Prompts!$A$2:$A$200,0)),1,0)</f>
        <v>1</v>
      </c>
      <c r="L185" s="3" t="n">
        <f aca="false">IF(AND(G185&gt;Settings!$B$4,OR(D185="",D185&lt;=Settings!$B$4)),1,0)</f>
        <v>0</v>
      </c>
      <c r="M185" s="3" t="n">
        <v>7.52</v>
      </c>
      <c r="N185" s="3" t="n">
        <v>306</v>
      </c>
      <c r="O185" s="3" t="n">
        <v>364</v>
      </c>
      <c r="P185" s="14" t="n">
        <v>0.000737</v>
      </c>
      <c r="Q185" s="3" t="s">
        <v>17</v>
      </c>
      <c r="R185" s="3"/>
    </row>
    <row r="186" customFormat="false" ht="15" hidden="false" customHeight="false" outlineLevel="0" collapsed="false">
      <c r="A186" s="3" t="s">
        <v>17</v>
      </c>
      <c r="B186" s="3" t="n">
        <v>25</v>
      </c>
      <c r="C186" s="3" t="s">
        <v>174</v>
      </c>
      <c r="D186" s="3" t="n">
        <v>5</v>
      </c>
      <c r="E186" s="3" t="s">
        <v>49</v>
      </c>
      <c r="F186" s="3" t="str">
        <f aca="false">IF(D186="","none",IF(D186&lt;=Settings!$B$3,"simple",IF(D186&lt;=Settings!$B$4,"coding","critical")))</f>
        <v>coding</v>
      </c>
      <c r="G186" s="3" t="n">
        <f aca="false">INDEX(Prompts!$D$2:$D$200,MATCH($B186,Prompts!$A$2:$A$200,0))</f>
        <v>5</v>
      </c>
      <c r="H186" s="3" t="n">
        <f aca="false">INDEX(Prompts!$E$2:$E$200,MATCH($B186,Prompts!$A$2:$A$200,0))</f>
        <v>7</v>
      </c>
      <c r="I186" s="3" t="n">
        <f aca="false">IF(D186="",0,IF(OR(F186=IF(G186&lt;=Settings!$B$3,"simple",IF(G186&lt;=Settings!$B$4,"coding","critical")),F186=IF(H186&lt;=Settings!$B$3,"simple",IF(H186&lt;=Settings!$B$4,"coding","critical"))),1,0))</f>
        <v>1</v>
      </c>
      <c r="J186" s="3" t="n">
        <f aca="false">IF(D186="",0,IF(AND(D186&gt;=G186,D186&lt;=H186),1,0))</f>
        <v>1</v>
      </c>
      <c r="K186" s="3" t="n">
        <f aca="false">IF(E186=INDEX(Prompts!$F$2:$F$200,MATCH($B186,Prompts!$A$2:$A$200,0)),1,0)</f>
        <v>1</v>
      </c>
      <c r="L186" s="3" t="n">
        <f aca="false">IF(AND(G186&gt;Settings!$B$4,OR(D186="",D186&lt;=Settings!$B$4)),1,0)</f>
        <v>0</v>
      </c>
      <c r="M186" s="3" t="n">
        <v>8.05</v>
      </c>
      <c r="N186" s="3" t="n">
        <v>54</v>
      </c>
      <c r="O186" s="3" t="n">
        <v>400</v>
      </c>
      <c r="P186" s="14" t="n">
        <v>0.000598</v>
      </c>
      <c r="Q186" s="3" t="s">
        <v>17</v>
      </c>
      <c r="R186" s="3"/>
    </row>
    <row r="187" customFormat="false" ht="15" hidden="false" customHeight="false" outlineLevel="0" collapsed="false">
      <c r="A187" s="3" t="s">
        <v>17</v>
      </c>
      <c r="B187" s="3" t="n">
        <v>26</v>
      </c>
      <c r="C187" s="3" t="s">
        <v>138</v>
      </c>
      <c r="D187" s="3" t="n">
        <v>5</v>
      </c>
      <c r="E187" s="3" t="s">
        <v>49</v>
      </c>
      <c r="F187" s="3" t="str">
        <f aca="false">IF(D187="","none",IF(D187&lt;=Settings!$B$3,"simple",IF(D187&lt;=Settings!$B$4,"coding","critical")))</f>
        <v>coding</v>
      </c>
      <c r="G187" s="3" t="n">
        <f aca="false">INDEX(Prompts!$D$2:$D$200,MATCH($B187,Prompts!$A$2:$A$200,0))</f>
        <v>5</v>
      </c>
      <c r="H187" s="3" t="n">
        <f aca="false">INDEX(Prompts!$E$2:$E$200,MATCH($B187,Prompts!$A$2:$A$200,0))</f>
        <v>6</v>
      </c>
      <c r="I187" s="3" t="n">
        <f aca="false">IF(D187="",0,IF(OR(F187=IF(G187&lt;=Settings!$B$3,"simple",IF(G187&lt;=Settings!$B$4,"coding","critical")),F187=IF(H187&lt;=Settings!$B$3,"simple",IF(H187&lt;=Settings!$B$4,"coding","critical"))),1,0))</f>
        <v>1</v>
      </c>
      <c r="J187" s="3" t="n">
        <f aca="false">IF(D187="",0,IF(AND(D187&gt;=G187,D187&lt;=H187),1,0))</f>
        <v>1</v>
      </c>
      <c r="K187" s="3" t="n">
        <f aca="false">IF(E187=INDEX(Prompts!$F$2:$F$200,MATCH($B187,Prompts!$A$2:$A$200,0)),1,0)</f>
        <v>1</v>
      </c>
      <c r="L187" s="3" t="n">
        <f aca="false">IF(AND(G187&gt;Settings!$B$4,OR(D187="",D187&lt;=Settings!$B$4)),1,0)</f>
        <v>0</v>
      </c>
      <c r="M187" s="3" t="n">
        <v>5.12</v>
      </c>
      <c r="N187" s="3" t="n">
        <v>300</v>
      </c>
      <c r="O187" s="3" t="n">
        <v>248</v>
      </c>
      <c r="P187" s="14" t="n">
        <v>0.000603</v>
      </c>
      <c r="Q187" s="3" t="s">
        <v>17</v>
      </c>
      <c r="R187" s="3"/>
    </row>
    <row r="188" customFormat="false" ht="15" hidden="false" customHeight="false" outlineLevel="0" collapsed="false">
      <c r="A188" s="3" t="s">
        <v>17</v>
      </c>
      <c r="B188" s="3" t="n">
        <v>27</v>
      </c>
      <c r="C188" s="3" t="s">
        <v>157</v>
      </c>
      <c r="D188" s="3" t="n">
        <v>7</v>
      </c>
      <c r="E188" s="3" t="s">
        <v>49</v>
      </c>
      <c r="F188" s="3" t="str">
        <f aca="false">IF(D188="","none",IF(D188&lt;=Settings!$B$3,"simple",IF(D188&lt;=Settings!$B$4,"coding","critical")))</f>
        <v>coding</v>
      </c>
      <c r="G188" s="3" t="n">
        <f aca="false">INDEX(Prompts!$D$2:$D$200,MATCH($B188,Prompts!$A$2:$A$200,0))</f>
        <v>7</v>
      </c>
      <c r="H188" s="3" t="n">
        <f aca="false">INDEX(Prompts!$E$2:$E$200,MATCH($B188,Prompts!$A$2:$A$200,0))</f>
        <v>9</v>
      </c>
      <c r="I188" s="3" t="n">
        <f aca="false">IF(D188="",0,IF(OR(F188=IF(G188&lt;=Settings!$B$3,"simple",IF(G188&lt;=Settings!$B$4,"coding","critical")),F188=IF(H188&lt;=Settings!$B$3,"simple",IF(H188&lt;=Settings!$B$4,"coding","critical"))),1,0))</f>
        <v>1</v>
      </c>
      <c r="J188" s="3" t="n">
        <f aca="false">IF(D188="",0,IF(AND(D188&gt;=G188,D188&lt;=H188),1,0))</f>
        <v>1</v>
      </c>
      <c r="K188" s="3" t="n">
        <f aca="false">IF(E188=INDEX(Prompts!$F$2:$F$200,MATCH($B188,Prompts!$A$2:$A$200,0)),1,0)</f>
        <v>1</v>
      </c>
      <c r="L188" s="3" t="n">
        <f aca="false">IF(AND(G188&gt;Settings!$B$4,OR(D188="",D188&lt;=Settings!$B$4)),1,0)</f>
        <v>0</v>
      </c>
      <c r="M188" s="3" t="n">
        <v>4.5</v>
      </c>
      <c r="N188" s="3" t="n">
        <v>306</v>
      </c>
      <c r="O188" s="3" t="n">
        <v>165</v>
      </c>
      <c r="P188" s="14" t="n">
        <v>0.000518</v>
      </c>
      <c r="Q188" s="3" t="s">
        <v>17</v>
      </c>
      <c r="R188" s="3"/>
    </row>
    <row r="189" customFormat="false" ht="15" hidden="false" customHeight="false" outlineLevel="0" collapsed="false">
      <c r="A189" s="3" t="s">
        <v>17</v>
      </c>
      <c r="B189" s="3" t="n">
        <v>28</v>
      </c>
      <c r="C189" s="3" t="s">
        <v>158</v>
      </c>
      <c r="D189" s="3" t="n">
        <v>8</v>
      </c>
      <c r="E189" s="3" t="s">
        <v>53</v>
      </c>
      <c r="F189" s="3" t="str">
        <f aca="false">IF(D189="","none",IF(D189&lt;=Settings!$B$3,"simple",IF(D189&lt;=Settings!$B$4,"coding","critical")))</f>
        <v>critical</v>
      </c>
      <c r="G189" s="3" t="n">
        <f aca="false">INDEX(Prompts!$D$2:$D$200,MATCH($B189,Prompts!$A$2:$A$200,0))</f>
        <v>7</v>
      </c>
      <c r="H189" s="3" t="n">
        <f aca="false">INDEX(Prompts!$E$2:$E$200,MATCH($B189,Prompts!$A$2:$A$200,0))</f>
        <v>9</v>
      </c>
      <c r="I189" s="3" t="n">
        <f aca="false">IF(D189="",0,IF(OR(F189=IF(G189&lt;=Settings!$B$3,"simple",IF(G189&lt;=Settings!$B$4,"coding","critical")),F189=IF(H189&lt;=Settings!$B$3,"simple",IF(H189&lt;=Settings!$B$4,"coding","critical"))),1,0))</f>
        <v>1</v>
      </c>
      <c r="J189" s="3" t="n">
        <f aca="false">IF(D189="",0,IF(AND(D189&gt;=G189,D189&lt;=H189),1,0))</f>
        <v>1</v>
      </c>
      <c r="K189" s="3" t="n">
        <f aca="false">IF(E189=INDEX(Prompts!$F$2:$F$200,MATCH($B189,Prompts!$A$2:$A$200,0)),1,0)</f>
        <v>1</v>
      </c>
      <c r="L189" s="3" t="n">
        <f aca="false">IF(AND(G189&gt;Settings!$B$4,OR(D189="",D189&lt;=Settings!$B$4)),1,0)</f>
        <v>0</v>
      </c>
      <c r="M189" s="3" t="n">
        <v>4.97</v>
      </c>
      <c r="N189" s="3" t="n">
        <v>313</v>
      </c>
      <c r="O189" s="3" t="n">
        <v>245</v>
      </c>
      <c r="P189" s="14" t="n">
        <v>0.000614</v>
      </c>
      <c r="Q189" s="3" t="s">
        <v>17</v>
      </c>
      <c r="R189" s="3"/>
    </row>
    <row r="190" customFormat="false" ht="15" hidden="false" customHeight="false" outlineLevel="0" collapsed="false">
      <c r="A190" s="3" t="s">
        <v>17</v>
      </c>
      <c r="B190" s="3" t="n">
        <v>29</v>
      </c>
      <c r="C190" s="3" t="s">
        <v>175</v>
      </c>
      <c r="D190" s="3" t="n">
        <v>9</v>
      </c>
      <c r="E190" s="3" t="s">
        <v>49</v>
      </c>
      <c r="F190" s="3" t="str">
        <f aca="false">IF(D190="","none",IF(D190&lt;=Settings!$B$3,"simple",IF(D190&lt;=Settings!$B$4,"coding","critical")))</f>
        <v>critical</v>
      </c>
      <c r="G190" s="3" t="n">
        <f aca="false">INDEX(Prompts!$D$2:$D$200,MATCH($B190,Prompts!$A$2:$A$200,0))</f>
        <v>8</v>
      </c>
      <c r="H190" s="3" t="n">
        <f aca="false">INDEX(Prompts!$E$2:$E$200,MATCH($B190,Prompts!$A$2:$A$200,0))</f>
        <v>10</v>
      </c>
      <c r="I190" s="3" t="n">
        <f aca="false">IF(D190="",0,IF(OR(F190=IF(G190&lt;=Settings!$B$3,"simple",IF(G190&lt;=Settings!$B$4,"coding","critical")),F190=IF(H190&lt;=Settings!$B$3,"simple",IF(H190&lt;=Settings!$B$4,"coding","critical"))),1,0))</f>
        <v>1</v>
      </c>
      <c r="J190" s="3" t="n">
        <f aca="false">IF(D190="",0,IF(AND(D190&gt;=G190,D190&lt;=H190),1,0))</f>
        <v>1</v>
      </c>
      <c r="K190" s="3" t="n">
        <f aca="false">IF(E190=INDEX(Prompts!$F$2:$F$200,MATCH($B190,Prompts!$A$2:$A$200,0)),1,0)</f>
        <v>1</v>
      </c>
      <c r="L190" s="3" t="n">
        <f aca="false">IF(AND(G190&gt;Settings!$B$4,OR(D190="",D190&lt;=Settings!$B$4)),1,0)</f>
        <v>0</v>
      </c>
      <c r="M190" s="3" t="n">
        <v>8.9</v>
      </c>
      <c r="N190" s="3" t="n">
        <v>312</v>
      </c>
      <c r="O190" s="3" t="n">
        <v>400</v>
      </c>
      <c r="P190" s="14" t="n">
        <v>0.000783</v>
      </c>
      <c r="Q190" s="3" t="s">
        <v>17</v>
      </c>
      <c r="R190" s="3"/>
    </row>
    <row r="191" customFormat="false" ht="15" hidden="false" customHeight="false" outlineLevel="0" collapsed="false">
      <c r="A191" s="3" t="s">
        <v>17</v>
      </c>
      <c r="B191" s="3" t="n">
        <v>30</v>
      </c>
      <c r="C191" s="3" t="s">
        <v>176</v>
      </c>
      <c r="D191" s="3" t="n">
        <v>10</v>
      </c>
      <c r="E191" s="3" t="s">
        <v>69</v>
      </c>
      <c r="F191" s="3" t="str">
        <f aca="false">IF(D191="","none",IF(D191&lt;=Settings!$B$3,"simple",IF(D191&lt;=Settings!$B$4,"coding","critical")))</f>
        <v>critical</v>
      </c>
      <c r="G191" s="3" t="n">
        <f aca="false">INDEX(Prompts!$D$2:$D$200,MATCH($B191,Prompts!$A$2:$A$200,0))</f>
        <v>9</v>
      </c>
      <c r="H191" s="3" t="n">
        <f aca="false">INDEX(Prompts!$E$2:$E$200,MATCH($B191,Prompts!$A$2:$A$200,0))</f>
        <v>10</v>
      </c>
      <c r="I191" s="3" t="n">
        <f aca="false">IF(D191="",0,IF(OR(F191=IF(G191&lt;=Settings!$B$3,"simple",IF(G191&lt;=Settings!$B$4,"coding","critical")),F191=IF(H191&lt;=Settings!$B$3,"simple",IF(H191&lt;=Settings!$B$4,"coding","critical"))),1,0))</f>
        <v>1</v>
      </c>
      <c r="J191" s="3" t="n">
        <f aca="false">IF(D191="",0,IF(AND(D191&gt;=G191,D191&lt;=H191),1,0))</f>
        <v>1</v>
      </c>
      <c r="K191" s="3" t="n">
        <f aca="false">IF(E191=INDEX(Prompts!$F$2:$F$200,MATCH($B191,Prompts!$A$2:$A$200,0)),1,0)</f>
        <v>0</v>
      </c>
      <c r="L191" s="3" t="n">
        <f aca="false">IF(AND(G191&gt;Settings!$B$4,OR(D191="",D191&lt;=Settings!$B$4)),1,0)</f>
        <v>0</v>
      </c>
      <c r="M191" s="3" t="n">
        <v>6.55</v>
      </c>
      <c r="N191" s="3" t="n">
        <v>306</v>
      </c>
      <c r="O191" s="3" t="n">
        <v>352</v>
      </c>
      <c r="P191" s="14" t="n">
        <v>0.000724</v>
      </c>
      <c r="Q191" s="3" t="s">
        <v>17</v>
      </c>
      <c r="R191" s="3"/>
    </row>
    <row r="192" customFormat="false" ht="15" hidden="false" customHeight="false" outlineLevel="0" collapsed="false">
      <c r="A192" s="3" t="s">
        <v>17</v>
      </c>
      <c r="B192" s="3" t="n">
        <v>31</v>
      </c>
      <c r="C192" s="3" t="s">
        <v>177</v>
      </c>
      <c r="D192" s="3" t="n">
        <v>9</v>
      </c>
      <c r="E192" s="3" t="s">
        <v>49</v>
      </c>
      <c r="F192" s="3" t="str">
        <f aca="false">IF(D192="","none",IF(D192&lt;=Settings!$B$3,"simple",IF(D192&lt;=Settings!$B$4,"coding","critical")))</f>
        <v>critical</v>
      </c>
      <c r="G192" s="3" t="n">
        <f aca="false">INDEX(Prompts!$D$2:$D$200,MATCH($B192,Prompts!$A$2:$A$200,0))</f>
        <v>9</v>
      </c>
      <c r="H192" s="3" t="n">
        <f aca="false">INDEX(Prompts!$E$2:$E$200,MATCH($B192,Prompts!$A$2:$A$200,0))</f>
        <v>10</v>
      </c>
      <c r="I192" s="3" t="n">
        <f aca="false">IF(D192="",0,IF(OR(F192=IF(G192&lt;=Settings!$B$3,"simple",IF(G192&lt;=Settings!$B$4,"coding","critical")),F192=IF(H192&lt;=Settings!$B$3,"simple",IF(H192&lt;=Settings!$B$4,"coding","critical"))),1,0))</f>
        <v>1</v>
      </c>
      <c r="J192" s="3" t="n">
        <f aca="false">IF(D192="",0,IF(AND(D192&gt;=G192,D192&lt;=H192),1,0))</f>
        <v>1</v>
      </c>
      <c r="K192" s="3" t="n">
        <f aca="false">IF(E192=INDEX(Prompts!$F$2:$F$200,MATCH($B192,Prompts!$A$2:$A$200,0)),1,0)</f>
        <v>0</v>
      </c>
      <c r="L192" s="3" t="n">
        <f aca="false">IF(AND(G192&gt;Settings!$B$4,OR(D192="",D192&lt;=Settings!$B$4)),1,0)</f>
        <v>0</v>
      </c>
      <c r="M192" s="3" t="n">
        <v>8.7</v>
      </c>
      <c r="N192" s="3" t="n">
        <v>308</v>
      </c>
      <c r="O192" s="3" t="n">
        <v>400</v>
      </c>
      <c r="P192" s="14" t="n">
        <v>0.000779</v>
      </c>
      <c r="Q192" s="3" t="s">
        <v>17</v>
      </c>
      <c r="R192" s="3"/>
    </row>
    <row r="193" customFormat="false" ht="15" hidden="false" customHeight="false" outlineLevel="0" collapsed="false">
      <c r="A193" s="3" t="s">
        <v>17</v>
      </c>
      <c r="B193" s="3" t="n">
        <v>32</v>
      </c>
      <c r="C193" s="3" t="s">
        <v>148</v>
      </c>
      <c r="D193" s="3" t="n">
        <v>9</v>
      </c>
      <c r="E193" s="3" t="s">
        <v>49</v>
      </c>
      <c r="F193" s="3" t="str">
        <f aca="false">IF(D193="","none",IF(D193&lt;=Settings!$B$3,"simple",IF(D193&lt;=Settings!$B$4,"coding","critical")))</f>
        <v>critical</v>
      </c>
      <c r="G193" s="3" t="n">
        <f aca="false">INDEX(Prompts!$D$2:$D$200,MATCH($B193,Prompts!$A$2:$A$200,0))</f>
        <v>9</v>
      </c>
      <c r="H193" s="3" t="n">
        <f aca="false">INDEX(Prompts!$E$2:$E$200,MATCH($B193,Prompts!$A$2:$A$200,0))</f>
        <v>10</v>
      </c>
      <c r="I193" s="3" t="n">
        <f aca="false">IF(D193="",0,IF(OR(F193=IF(G193&lt;=Settings!$B$3,"simple",IF(G193&lt;=Settings!$B$4,"coding","critical")),F193=IF(H193&lt;=Settings!$B$3,"simple",IF(H193&lt;=Settings!$B$4,"coding","critical"))),1,0))</f>
        <v>1</v>
      </c>
      <c r="J193" s="3" t="n">
        <f aca="false">IF(D193="",0,IF(AND(D193&gt;=G193,D193&lt;=H193),1,0))</f>
        <v>1</v>
      </c>
      <c r="K193" s="3" t="n">
        <f aca="false">IF(E193=INDEX(Prompts!$F$2:$F$200,MATCH($B193,Prompts!$A$2:$A$200,0)),1,0)</f>
        <v>1</v>
      </c>
      <c r="L193" s="3" t="n">
        <f aca="false">IF(AND(G193&gt;Settings!$B$4,OR(D193="",D193&lt;=Settings!$B$4)),1,0)</f>
        <v>0</v>
      </c>
      <c r="M193" s="3" t="n">
        <v>10.42</v>
      </c>
      <c r="N193" s="3" t="n">
        <v>325</v>
      </c>
      <c r="O193" s="3" t="n">
        <v>163</v>
      </c>
      <c r="P193" s="14" t="n">
        <v>0.000537</v>
      </c>
      <c r="Q193" s="3" t="s">
        <v>17</v>
      </c>
      <c r="R193" s="3"/>
    </row>
    <row r="194" customFormat="false" ht="15" hidden="false" customHeight="false" outlineLevel="0" collapsed="false">
      <c r="A194" s="3" t="s">
        <v>18</v>
      </c>
      <c r="B194" s="3" t="n">
        <v>1</v>
      </c>
      <c r="C194" s="3" t="s">
        <v>134</v>
      </c>
      <c r="D194" s="3" t="n">
        <v>3</v>
      </c>
      <c r="E194" s="3" t="s">
        <v>69</v>
      </c>
      <c r="F194" s="3" t="str">
        <f aca="false">IF(D194="","none",IF(D194&lt;=Settings!$B$3,"simple",IF(D194&lt;=Settings!$B$4,"coding","critical")))</f>
        <v>simple</v>
      </c>
      <c r="G194" s="3" t="n">
        <f aca="false">INDEX(Prompts!$D$2:$D$200,MATCH($B194,Prompts!$A$2:$A$200,0))</f>
        <v>1</v>
      </c>
      <c r="H194" s="3" t="n">
        <f aca="false">INDEX(Prompts!$E$2:$E$200,MATCH($B194,Prompts!$A$2:$A$200,0))</f>
        <v>2</v>
      </c>
      <c r="I194" s="3" t="n">
        <f aca="false">IF(D194="",0,IF(OR(F194=IF(G194&lt;=Settings!$B$3,"simple",IF(G194&lt;=Settings!$B$4,"coding","critical")),F194=IF(H194&lt;=Settings!$B$3,"simple",IF(H194&lt;=Settings!$B$4,"coding","critical"))),1,0))</f>
        <v>1</v>
      </c>
      <c r="J194" s="3" t="n">
        <f aca="false">IF(D194="",0,IF(AND(D194&gt;=G194,D194&lt;=H194),1,0))</f>
        <v>0</v>
      </c>
      <c r="K194" s="3" t="n">
        <f aca="false">IF(E194=INDEX(Prompts!$F$2:$F$200,MATCH($B194,Prompts!$A$2:$A$200,0)),1,0)</f>
        <v>0</v>
      </c>
      <c r="L194" s="3" t="n">
        <f aca="false">IF(AND(G194&gt;Settings!$B$4,OR(D194="",D194&lt;=Settings!$B$4)),1,0)</f>
        <v>0</v>
      </c>
      <c r="M194" s="3" t="n">
        <v>8.91</v>
      </c>
      <c r="N194" s="3" t="n">
        <v>291</v>
      </c>
      <c r="O194" s="3" t="n">
        <v>140</v>
      </c>
      <c r="P194" s="14" t="n">
        <v>8.6E-005</v>
      </c>
      <c r="Q194" s="3" t="s">
        <v>18</v>
      </c>
      <c r="R194" s="3"/>
    </row>
    <row r="195" customFormat="false" ht="15" hidden="false" customHeight="false" outlineLevel="0" collapsed="false">
      <c r="A195" s="3" t="s">
        <v>18</v>
      </c>
      <c r="B195" s="3" t="n">
        <v>2</v>
      </c>
      <c r="C195" s="3" t="s">
        <v>128</v>
      </c>
      <c r="D195" s="3" t="n">
        <v>1</v>
      </c>
      <c r="E195" s="3" t="s">
        <v>56</v>
      </c>
      <c r="F195" s="3" t="str">
        <f aca="false">IF(D195="","none",IF(D195&lt;=Settings!$B$3,"simple",IF(D195&lt;=Settings!$B$4,"coding","critical")))</f>
        <v>simple</v>
      </c>
      <c r="G195" s="3" t="n">
        <f aca="false">INDEX(Prompts!$D$2:$D$200,MATCH($B195,Prompts!$A$2:$A$200,0))</f>
        <v>1</v>
      </c>
      <c r="H195" s="3" t="n">
        <f aca="false">INDEX(Prompts!$E$2:$E$200,MATCH($B195,Prompts!$A$2:$A$200,0))</f>
        <v>2</v>
      </c>
      <c r="I195" s="3" t="n">
        <f aca="false">IF(D195="",0,IF(OR(F195=IF(G195&lt;=Settings!$B$3,"simple",IF(G195&lt;=Settings!$B$4,"coding","critical")),F195=IF(H195&lt;=Settings!$B$3,"simple",IF(H195&lt;=Settings!$B$4,"coding","critical"))),1,0))</f>
        <v>1</v>
      </c>
      <c r="J195" s="3" t="n">
        <f aca="false">IF(D195="",0,IF(AND(D195&gt;=G195,D195&lt;=H195),1,0))</f>
        <v>1</v>
      </c>
      <c r="K195" s="3" t="n">
        <f aca="false">IF(E195=INDEX(Prompts!$F$2:$F$200,MATCH($B195,Prompts!$A$2:$A$200,0)),1,0)</f>
        <v>0</v>
      </c>
      <c r="L195" s="3" t="n">
        <f aca="false">IF(AND(G195&gt;Settings!$B$4,OR(D195="",D195&lt;=Settings!$B$4)),1,0)</f>
        <v>0</v>
      </c>
      <c r="M195" s="3" t="n">
        <v>6.01</v>
      </c>
      <c r="N195" s="3" t="n">
        <v>297</v>
      </c>
      <c r="O195" s="3" t="n">
        <v>63</v>
      </c>
      <c r="P195" s="14" t="n">
        <v>7.2E-005</v>
      </c>
      <c r="Q195" s="3" t="s">
        <v>18</v>
      </c>
      <c r="R195" s="3"/>
    </row>
    <row r="196" customFormat="false" ht="15" hidden="false" customHeight="false" outlineLevel="0" collapsed="false">
      <c r="A196" s="3" t="s">
        <v>18</v>
      </c>
      <c r="B196" s="3" t="n">
        <v>3</v>
      </c>
      <c r="C196" s="3" t="s">
        <v>129</v>
      </c>
      <c r="D196" s="3" t="n">
        <v>1</v>
      </c>
      <c r="E196" s="3" t="s">
        <v>53</v>
      </c>
      <c r="F196" s="3" t="str">
        <f aca="false">IF(D196="","none",IF(D196&lt;=Settings!$B$3,"simple",IF(D196&lt;=Settings!$B$4,"coding","critical")))</f>
        <v>simple</v>
      </c>
      <c r="G196" s="3" t="n">
        <f aca="false">INDEX(Prompts!$D$2:$D$200,MATCH($B196,Prompts!$A$2:$A$200,0))</f>
        <v>1</v>
      </c>
      <c r="H196" s="3" t="n">
        <f aca="false">INDEX(Prompts!$E$2:$E$200,MATCH($B196,Prompts!$A$2:$A$200,0))</f>
        <v>2</v>
      </c>
      <c r="I196" s="3" t="n">
        <f aca="false">IF(D196="",0,IF(OR(F196=IF(G196&lt;=Settings!$B$3,"simple",IF(G196&lt;=Settings!$B$4,"coding","critical")),F196=IF(H196&lt;=Settings!$B$3,"simple",IF(H196&lt;=Settings!$B$4,"coding","critical"))),1,0))</f>
        <v>1</v>
      </c>
      <c r="J196" s="3" t="n">
        <f aca="false">IF(D196="",0,IF(AND(D196&gt;=G196,D196&lt;=H196),1,0))</f>
        <v>1</v>
      </c>
      <c r="K196" s="3" t="n">
        <f aca="false">IF(E196=INDEX(Prompts!$F$2:$F$200,MATCH($B196,Prompts!$A$2:$A$200,0)),1,0)</f>
        <v>1</v>
      </c>
      <c r="L196" s="3" t="n">
        <f aca="false">IF(AND(G196&gt;Settings!$B$4,OR(D196="",D196&lt;=Settings!$B$4)),1,0)</f>
        <v>0</v>
      </c>
      <c r="M196" s="3" t="n">
        <v>6.6</v>
      </c>
      <c r="N196" s="3" t="n">
        <v>295</v>
      </c>
      <c r="O196" s="3" t="n">
        <v>58</v>
      </c>
      <c r="P196" s="14" t="n">
        <v>7.1E-005</v>
      </c>
      <c r="Q196" s="3" t="s">
        <v>18</v>
      </c>
      <c r="R196" s="3"/>
    </row>
    <row r="197" customFormat="false" ht="15" hidden="false" customHeight="false" outlineLevel="0" collapsed="false">
      <c r="A197" s="3" t="s">
        <v>18</v>
      </c>
      <c r="B197" s="3" t="n">
        <v>4</v>
      </c>
      <c r="C197" s="3" t="s">
        <v>128</v>
      </c>
      <c r="D197" s="3" t="n">
        <v>1</v>
      </c>
      <c r="E197" s="3" t="s">
        <v>56</v>
      </c>
      <c r="F197" s="3" t="str">
        <f aca="false">IF(D197="","none",IF(D197&lt;=Settings!$B$3,"simple",IF(D197&lt;=Settings!$B$4,"coding","critical")))</f>
        <v>simple</v>
      </c>
      <c r="G197" s="3" t="n">
        <f aca="false">INDEX(Prompts!$D$2:$D$200,MATCH($B197,Prompts!$A$2:$A$200,0))</f>
        <v>1</v>
      </c>
      <c r="H197" s="3" t="n">
        <f aca="false">INDEX(Prompts!$E$2:$E$200,MATCH($B197,Prompts!$A$2:$A$200,0))</f>
        <v>2</v>
      </c>
      <c r="I197" s="3" t="n">
        <f aca="false">IF(D197="",0,IF(OR(F197=IF(G197&lt;=Settings!$B$3,"simple",IF(G197&lt;=Settings!$B$4,"coding","critical")),F197=IF(H197&lt;=Settings!$B$3,"simple",IF(H197&lt;=Settings!$B$4,"coding","critical"))),1,0))</f>
        <v>1</v>
      </c>
      <c r="J197" s="3" t="n">
        <f aca="false">IF(D197="",0,IF(AND(D197&gt;=G197,D197&lt;=H197),1,0))</f>
        <v>1</v>
      </c>
      <c r="K197" s="3" t="n">
        <f aca="false">IF(E197=INDEX(Prompts!$F$2:$F$200,MATCH($B197,Prompts!$A$2:$A$200,0)),1,0)</f>
        <v>1</v>
      </c>
      <c r="L197" s="3" t="n">
        <f aca="false">IF(AND(G197&gt;Settings!$B$4,OR(D197="",D197&lt;=Settings!$B$4)),1,0)</f>
        <v>0</v>
      </c>
      <c r="M197" s="3" t="n">
        <v>5.51</v>
      </c>
      <c r="N197" s="3" t="n">
        <v>290</v>
      </c>
      <c r="O197" s="3" t="n">
        <v>42</v>
      </c>
      <c r="P197" s="14" t="n">
        <v>6.6E-005</v>
      </c>
      <c r="Q197" s="3" t="s">
        <v>18</v>
      </c>
      <c r="R197" s="3"/>
    </row>
    <row r="198" customFormat="false" ht="15" hidden="false" customHeight="false" outlineLevel="0" collapsed="false">
      <c r="A198" s="3" t="s">
        <v>18</v>
      </c>
      <c r="B198" s="3" t="n">
        <v>5</v>
      </c>
      <c r="C198" s="3" t="s">
        <v>152</v>
      </c>
      <c r="D198" s="3" t="n">
        <v>1</v>
      </c>
      <c r="E198" s="3" t="s">
        <v>58</v>
      </c>
      <c r="F198" s="3" t="str">
        <f aca="false">IF(D198="","none",IF(D198&lt;=Settings!$B$3,"simple",IF(D198&lt;=Settings!$B$4,"coding","critical")))</f>
        <v>simple</v>
      </c>
      <c r="G198" s="3" t="n">
        <f aca="false">INDEX(Prompts!$D$2:$D$200,MATCH($B198,Prompts!$A$2:$A$200,0))</f>
        <v>1</v>
      </c>
      <c r="H198" s="3" t="n">
        <f aca="false">INDEX(Prompts!$E$2:$E$200,MATCH($B198,Prompts!$A$2:$A$200,0))</f>
        <v>2</v>
      </c>
      <c r="I198" s="3" t="n">
        <f aca="false">IF(D198="",0,IF(OR(F198=IF(G198&lt;=Settings!$B$3,"simple",IF(G198&lt;=Settings!$B$4,"coding","critical")),F198=IF(H198&lt;=Settings!$B$3,"simple",IF(H198&lt;=Settings!$B$4,"coding","critical"))),1,0))</f>
        <v>1</v>
      </c>
      <c r="J198" s="3" t="n">
        <f aca="false">IF(D198="",0,IF(AND(D198&gt;=G198,D198&lt;=H198),1,0))</f>
        <v>1</v>
      </c>
      <c r="K198" s="3" t="n">
        <f aca="false">IF(E198=INDEX(Prompts!$F$2:$F$200,MATCH($B198,Prompts!$A$2:$A$200,0)),1,0)</f>
        <v>1</v>
      </c>
      <c r="L198" s="3" t="n">
        <f aca="false">IF(AND(G198&gt;Settings!$B$4,OR(D198="",D198&lt;=Settings!$B$4)),1,0)</f>
        <v>0</v>
      </c>
      <c r="M198" s="3" t="n">
        <v>6.51</v>
      </c>
      <c r="N198" s="3" t="n">
        <v>298</v>
      </c>
      <c r="O198" s="3" t="n">
        <v>40</v>
      </c>
      <c r="P198" s="14" t="n">
        <v>6.8E-005</v>
      </c>
      <c r="Q198" s="3" t="s">
        <v>18</v>
      </c>
      <c r="R198" s="3"/>
    </row>
    <row r="199" customFormat="false" ht="15" hidden="false" customHeight="false" outlineLevel="0" collapsed="false">
      <c r="A199" s="3" t="s">
        <v>18</v>
      </c>
      <c r="B199" s="3" t="n">
        <v>6</v>
      </c>
      <c r="C199" s="3" t="s">
        <v>128</v>
      </c>
      <c r="D199" s="3" t="n">
        <v>1</v>
      </c>
      <c r="E199" s="3" t="s">
        <v>56</v>
      </c>
      <c r="F199" s="3" t="str">
        <f aca="false">IF(D199="","none",IF(D199&lt;=Settings!$B$3,"simple",IF(D199&lt;=Settings!$B$4,"coding","critical")))</f>
        <v>simple</v>
      </c>
      <c r="G199" s="3" t="n">
        <f aca="false">INDEX(Prompts!$D$2:$D$200,MATCH($B199,Prompts!$A$2:$A$200,0))</f>
        <v>1</v>
      </c>
      <c r="H199" s="3" t="n">
        <f aca="false">INDEX(Prompts!$E$2:$E$200,MATCH($B199,Prompts!$A$2:$A$200,0))</f>
        <v>2</v>
      </c>
      <c r="I199" s="3" t="n">
        <f aca="false">IF(D199="",0,IF(OR(F199=IF(G199&lt;=Settings!$B$3,"simple",IF(G199&lt;=Settings!$B$4,"coding","critical")),F199=IF(H199&lt;=Settings!$B$3,"simple",IF(H199&lt;=Settings!$B$4,"coding","critical"))),1,0))</f>
        <v>1</v>
      </c>
      <c r="J199" s="3" t="n">
        <f aca="false">IF(D199="",0,IF(AND(D199&gt;=G199,D199&lt;=H199),1,0))</f>
        <v>1</v>
      </c>
      <c r="K199" s="3" t="n">
        <f aca="false">IF(E199=INDEX(Prompts!$F$2:$F$200,MATCH($B199,Prompts!$A$2:$A$200,0)),1,0)</f>
        <v>0</v>
      </c>
      <c r="L199" s="3" t="n">
        <f aca="false">IF(AND(G199&gt;Settings!$B$4,OR(D199="",D199&lt;=Settings!$B$4)),1,0)</f>
        <v>0</v>
      </c>
      <c r="M199" s="3" t="n">
        <v>5.04</v>
      </c>
      <c r="N199" s="3" t="n">
        <v>290</v>
      </c>
      <c r="O199" s="3" t="n">
        <v>75</v>
      </c>
      <c r="P199" s="14" t="n">
        <v>7.3E-005</v>
      </c>
      <c r="Q199" s="3" t="s">
        <v>18</v>
      </c>
      <c r="R199" s="3"/>
    </row>
    <row r="200" customFormat="false" ht="15" hidden="false" customHeight="false" outlineLevel="0" collapsed="false">
      <c r="A200" s="3" t="s">
        <v>18</v>
      </c>
      <c r="B200" s="3" t="n">
        <v>7</v>
      </c>
      <c r="C200" s="3" t="s">
        <v>160</v>
      </c>
      <c r="D200" s="3" t="n">
        <v>2</v>
      </c>
      <c r="E200" s="3" t="s">
        <v>49</v>
      </c>
      <c r="F200" s="3" t="str">
        <f aca="false">IF(D200="","none",IF(D200&lt;=Settings!$B$3,"simple",IF(D200&lt;=Settings!$B$4,"coding","critical")))</f>
        <v>simple</v>
      </c>
      <c r="G200" s="3" t="n">
        <f aca="false">INDEX(Prompts!$D$2:$D$200,MATCH($B200,Prompts!$A$2:$A$200,0))</f>
        <v>1</v>
      </c>
      <c r="H200" s="3" t="n">
        <f aca="false">INDEX(Prompts!$E$2:$E$200,MATCH($B200,Prompts!$A$2:$A$200,0))</f>
        <v>3</v>
      </c>
      <c r="I200" s="3" t="n">
        <f aca="false">IF(D200="",0,IF(OR(F200=IF(G200&lt;=Settings!$B$3,"simple",IF(G200&lt;=Settings!$B$4,"coding","critical")),F200=IF(H200&lt;=Settings!$B$3,"simple",IF(H200&lt;=Settings!$B$4,"coding","critical"))),1,0))</f>
        <v>1</v>
      </c>
      <c r="J200" s="3" t="n">
        <f aca="false">IF(D200="",0,IF(AND(D200&gt;=G200,D200&lt;=H200),1,0))</f>
        <v>1</v>
      </c>
      <c r="K200" s="3" t="n">
        <f aca="false">IF(E200=INDEX(Prompts!$F$2:$F$200,MATCH($B200,Prompts!$A$2:$A$200,0)),1,0)</f>
        <v>1</v>
      </c>
      <c r="L200" s="3" t="n">
        <f aca="false">IF(AND(G200&gt;Settings!$B$4,OR(D200="",D200&lt;=Settings!$B$4)),1,0)</f>
        <v>0</v>
      </c>
      <c r="M200" s="3" t="n">
        <v>5.25</v>
      </c>
      <c r="N200" s="3" t="n">
        <v>291</v>
      </c>
      <c r="O200" s="3" t="n">
        <v>36</v>
      </c>
      <c r="P200" s="14" t="n">
        <v>6.5E-005</v>
      </c>
      <c r="Q200" s="3" t="s">
        <v>18</v>
      </c>
      <c r="R200" s="3"/>
    </row>
    <row r="201" customFormat="false" ht="15" hidden="false" customHeight="false" outlineLevel="0" collapsed="false">
      <c r="A201" s="3" t="s">
        <v>18</v>
      </c>
      <c r="B201" s="3" t="n">
        <v>8</v>
      </c>
      <c r="C201" s="3" t="s">
        <v>132</v>
      </c>
      <c r="D201" s="3" t="n">
        <v>3</v>
      </c>
      <c r="E201" s="3" t="s">
        <v>49</v>
      </c>
      <c r="F201" s="3" t="str">
        <f aca="false">IF(D201="","none",IF(D201&lt;=Settings!$B$3,"simple",IF(D201&lt;=Settings!$B$4,"coding","critical")))</f>
        <v>simple</v>
      </c>
      <c r="G201" s="3" t="n">
        <f aca="false">INDEX(Prompts!$D$2:$D$200,MATCH($B201,Prompts!$A$2:$A$200,0))</f>
        <v>2</v>
      </c>
      <c r="H201" s="3" t="n">
        <f aca="false">INDEX(Prompts!$E$2:$E$200,MATCH($B201,Prompts!$A$2:$A$200,0))</f>
        <v>3</v>
      </c>
      <c r="I201" s="3" t="n">
        <f aca="false">IF(D201="",0,IF(OR(F201=IF(G201&lt;=Settings!$B$3,"simple",IF(G201&lt;=Settings!$B$4,"coding","critical")),F201=IF(H201&lt;=Settings!$B$3,"simple",IF(H201&lt;=Settings!$B$4,"coding","critical"))),1,0))</f>
        <v>1</v>
      </c>
      <c r="J201" s="3" t="n">
        <f aca="false">IF(D201="",0,IF(AND(D201&gt;=G201,D201&lt;=H201),1,0))</f>
        <v>1</v>
      </c>
      <c r="K201" s="3" t="n">
        <f aca="false">IF(E201=INDEX(Prompts!$F$2:$F$200,MATCH($B201,Prompts!$A$2:$A$200,0)),1,0)</f>
        <v>1</v>
      </c>
      <c r="L201" s="3" t="n">
        <f aca="false">IF(AND(G201&gt;Settings!$B$4,OR(D201="",D201&lt;=Settings!$B$4)),1,0)</f>
        <v>0</v>
      </c>
      <c r="M201" s="3" t="n">
        <v>4.46</v>
      </c>
      <c r="N201" s="3" t="n">
        <v>294</v>
      </c>
      <c r="O201" s="3" t="n">
        <v>42</v>
      </c>
      <c r="P201" s="14" t="n">
        <v>6.7E-005</v>
      </c>
      <c r="Q201" s="3" t="s">
        <v>18</v>
      </c>
      <c r="R201" s="3"/>
    </row>
    <row r="202" customFormat="false" ht="15" hidden="false" customHeight="false" outlineLevel="0" collapsed="false">
      <c r="A202" s="3" t="s">
        <v>18</v>
      </c>
      <c r="B202" s="3" t="n">
        <v>9</v>
      </c>
      <c r="C202" s="3" t="s">
        <v>132</v>
      </c>
      <c r="D202" s="3" t="n">
        <v>3</v>
      </c>
      <c r="E202" s="3" t="s">
        <v>49</v>
      </c>
      <c r="F202" s="3" t="str">
        <f aca="false">IF(D202="","none",IF(D202&lt;=Settings!$B$3,"simple",IF(D202&lt;=Settings!$B$4,"coding","critical")))</f>
        <v>simple</v>
      </c>
      <c r="G202" s="3" t="n">
        <f aca="false">INDEX(Prompts!$D$2:$D$200,MATCH($B202,Prompts!$A$2:$A$200,0))</f>
        <v>2</v>
      </c>
      <c r="H202" s="3" t="n">
        <f aca="false">INDEX(Prompts!$E$2:$E$200,MATCH($B202,Prompts!$A$2:$A$200,0))</f>
        <v>3</v>
      </c>
      <c r="I202" s="3" t="n">
        <f aca="false">IF(D202="",0,IF(OR(F202=IF(G202&lt;=Settings!$B$3,"simple",IF(G202&lt;=Settings!$B$4,"coding","critical")),F202=IF(H202&lt;=Settings!$B$3,"simple",IF(H202&lt;=Settings!$B$4,"coding","critical"))),1,0))</f>
        <v>1</v>
      </c>
      <c r="J202" s="3" t="n">
        <f aca="false">IF(D202="",0,IF(AND(D202&gt;=G202,D202&lt;=H202),1,0))</f>
        <v>1</v>
      </c>
      <c r="K202" s="3" t="n">
        <f aca="false">IF(E202=INDEX(Prompts!$F$2:$F$200,MATCH($B202,Prompts!$A$2:$A$200,0)),1,0)</f>
        <v>1</v>
      </c>
      <c r="L202" s="3" t="n">
        <f aca="false">IF(AND(G202&gt;Settings!$B$4,OR(D202="",D202&lt;=Settings!$B$4)),1,0)</f>
        <v>0</v>
      </c>
      <c r="M202" s="3" t="n">
        <v>3.88</v>
      </c>
      <c r="N202" s="3" t="n">
        <v>291</v>
      </c>
      <c r="O202" s="3" t="n">
        <v>34</v>
      </c>
      <c r="P202" s="14" t="n">
        <v>6.5E-005</v>
      </c>
      <c r="Q202" s="3" t="s">
        <v>18</v>
      </c>
      <c r="R202" s="3"/>
    </row>
    <row r="203" customFormat="false" ht="15" hidden="false" customHeight="false" outlineLevel="0" collapsed="false">
      <c r="A203" s="3" t="s">
        <v>18</v>
      </c>
      <c r="B203" s="3" t="n">
        <v>10</v>
      </c>
      <c r="C203" s="3" t="s">
        <v>132</v>
      </c>
      <c r="D203" s="3" t="n">
        <v>3</v>
      </c>
      <c r="E203" s="3" t="s">
        <v>49</v>
      </c>
      <c r="F203" s="3" t="str">
        <f aca="false">IF(D203="","none",IF(D203&lt;=Settings!$B$3,"simple",IF(D203&lt;=Settings!$B$4,"coding","critical")))</f>
        <v>simple</v>
      </c>
      <c r="G203" s="3" t="n">
        <f aca="false">INDEX(Prompts!$D$2:$D$200,MATCH($B203,Prompts!$A$2:$A$200,0))</f>
        <v>2</v>
      </c>
      <c r="H203" s="3" t="n">
        <f aca="false">INDEX(Prompts!$E$2:$E$200,MATCH($B203,Prompts!$A$2:$A$200,0))</f>
        <v>3</v>
      </c>
      <c r="I203" s="3" t="n">
        <f aca="false">IF(D203="",0,IF(OR(F203=IF(G203&lt;=Settings!$B$3,"simple",IF(G203&lt;=Settings!$B$4,"coding","critical")),F203=IF(H203&lt;=Settings!$B$3,"simple",IF(H203&lt;=Settings!$B$4,"coding","critical"))),1,0))</f>
        <v>1</v>
      </c>
      <c r="J203" s="3" t="n">
        <f aca="false">IF(D203="",0,IF(AND(D203&gt;=G203,D203&lt;=H203),1,0))</f>
        <v>1</v>
      </c>
      <c r="K203" s="3" t="n">
        <f aca="false">IF(E203=INDEX(Prompts!$F$2:$F$200,MATCH($B203,Prompts!$A$2:$A$200,0)),1,0)</f>
        <v>1</v>
      </c>
      <c r="L203" s="3" t="n">
        <f aca="false">IF(AND(G203&gt;Settings!$B$4,OR(D203="",D203&lt;=Settings!$B$4)),1,0)</f>
        <v>0</v>
      </c>
      <c r="M203" s="3" t="n">
        <v>5.81</v>
      </c>
      <c r="N203" s="3" t="n">
        <v>290</v>
      </c>
      <c r="O203" s="3" t="n">
        <v>40</v>
      </c>
      <c r="P203" s="14" t="n">
        <v>6.6E-005</v>
      </c>
      <c r="Q203" s="3" t="s">
        <v>18</v>
      </c>
      <c r="R203" s="3"/>
    </row>
    <row r="204" customFormat="false" ht="15" hidden="false" customHeight="false" outlineLevel="0" collapsed="false">
      <c r="A204" s="3" t="s">
        <v>18</v>
      </c>
      <c r="B204" s="3" t="n">
        <v>11</v>
      </c>
      <c r="C204" s="3" t="s">
        <v>127</v>
      </c>
      <c r="D204" s="3" t="n">
        <v>1</v>
      </c>
      <c r="E204" s="3" t="s">
        <v>69</v>
      </c>
      <c r="F204" s="3" t="str">
        <f aca="false">IF(D204="","none",IF(D204&lt;=Settings!$B$3,"simple",IF(D204&lt;=Settings!$B$4,"coding","critical")))</f>
        <v>simple</v>
      </c>
      <c r="G204" s="3" t="n">
        <f aca="false">INDEX(Prompts!$D$2:$D$200,MATCH($B204,Prompts!$A$2:$A$200,0))</f>
        <v>1</v>
      </c>
      <c r="H204" s="3" t="n">
        <f aca="false">INDEX(Prompts!$E$2:$E$200,MATCH($B204,Prompts!$A$2:$A$200,0))</f>
        <v>3</v>
      </c>
      <c r="I204" s="3" t="n">
        <f aca="false">IF(D204="",0,IF(OR(F204=IF(G204&lt;=Settings!$B$3,"simple",IF(G204&lt;=Settings!$B$4,"coding","critical")),F204=IF(H204&lt;=Settings!$B$3,"simple",IF(H204&lt;=Settings!$B$4,"coding","critical"))),1,0))</f>
        <v>1</v>
      </c>
      <c r="J204" s="3" t="n">
        <f aca="false">IF(D204="",0,IF(AND(D204&gt;=G204,D204&lt;=H204),1,0))</f>
        <v>1</v>
      </c>
      <c r="K204" s="3" t="n">
        <f aca="false">IF(E204=INDEX(Prompts!$F$2:$F$200,MATCH($B204,Prompts!$A$2:$A$200,0)),1,0)</f>
        <v>1</v>
      </c>
      <c r="L204" s="3" t="n">
        <f aca="false">IF(AND(G204&gt;Settings!$B$4,OR(D204="",D204&lt;=Settings!$B$4)),1,0)</f>
        <v>0</v>
      </c>
      <c r="M204" s="3" t="n">
        <v>5.58</v>
      </c>
      <c r="N204" s="3" t="n">
        <v>289</v>
      </c>
      <c r="O204" s="3" t="n">
        <v>84</v>
      </c>
      <c r="P204" s="14" t="n">
        <v>7.5E-005</v>
      </c>
      <c r="Q204" s="3" t="s">
        <v>18</v>
      </c>
      <c r="R204" s="3"/>
    </row>
    <row r="205" customFormat="false" ht="15" hidden="false" customHeight="false" outlineLevel="0" collapsed="false">
      <c r="A205" s="3" t="s">
        <v>18</v>
      </c>
      <c r="B205" s="3" t="n">
        <v>12</v>
      </c>
      <c r="C205" s="3" t="s">
        <v>134</v>
      </c>
      <c r="D205" s="3" t="n">
        <v>3</v>
      </c>
      <c r="E205" s="3" t="s">
        <v>69</v>
      </c>
      <c r="F205" s="3" t="str">
        <f aca="false">IF(D205="","none",IF(D205&lt;=Settings!$B$3,"simple",IF(D205&lt;=Settings!$B$4,"coding","critical")))</f>
        <v>simple</v>
      </c>
      <c r="G205" s="3" t="n">
        <f aca="false">INDEX(Prompts!$D$2:$D$200,MATCH($B205,Prompts!$A$2:$A$200,0))</f>
        <v>2</v>
      </c>
      <c r="H205" s="3" t="n">
        <f aca="false">INDEX(Prompts!$E$2:$E$200,MATCH($B205,Prompts!$A$2:$A$200,0))</f>
        <v>4</v>
      </c>
      <c r="I205" s="3" t="n">
        <f aca="false">IF(D205="",0,IF(OR(F205=IF(G205&lt;=Settings!$B$3,"simple",IF(G205&lt;=Settings!$B$4,"coding","critical")),F205=IF(H205&lt;=Settings!$B$3,"simple",IF(H205&lt;=Settings!$B$4,"coding","critical"))),1,0))</f>
        <v>1</v>
      </c>
      <c r="J205" s="3" t="n">
        <f aca="false">IF(D205="",0,IF(AND(D205&gt;=G205,D205&lt;=H205),1,0))</f>
        <v>1</v>
      </c>
      <c r="K205" s="3" t="n">
        <f aca="false">IF(E205=INDEX(Prompts!$F$2:$F$200,MATCH($B205,Prompts!$A$2:$A$200,0)),1,0)</f>
        <v>1</v>
      </c>
      <c r="L205" s="3" t="n">
        <f aca="false">IF(AND(G205&gt;Settings!$B$4,OR(D205="",D205&lt;=Settings!$B$4)),1,0)</f>
        <v>0</v>
      </c>
      <c r="M205" s="3" t="n">
        <v>5.04</v>
      </c>
      <c r="N205" s="3" t="n">
        <v>291</v>
      </c>
      <c r="O205" s="3" t="n">
        <v>54</v>
      </c>
      <c r="P205" s="14" t="n">
        <v>6.9E-005</v>
      </c>
      <c r="Q205" s="3" t="s">
        <v>18</v>
      </c>
      <c r="R205" s="3"/>
    </row>
    <row r="206" customFormat="false" ht="15" hidden="false" customHeight="false" outlineLevel="0" collapsed="false">
      <c r="A206" s="3" t="s">
        <v>18</v>
      </c>
      <c r="B206" s="3" t="n">
        <v>13</v>
      </c>
      <c r="C206" s="3" t="s">
        <v>132</v>
      </c>
      <c r="D206" s="3" t="n">
        <v>3</v>
      </c>
      <c r="E206" s="3" t="s">
        <v>49</v>
      </c>
      <c r="F206" s="3" t="str">
        <f aca="false">IF(D206="","none",IF(D206&lt;=Settings!$B$3,"simple",IF(D206&lt;=Settings!$B$4,"coding","critical")))</f>
        <v>simple</v>
      </c>
      <c r="G206" s="3" t="n">
        <f aca="false">INDEX(Prompts!$D$2:$D$200,MATCH($B206,Prompts!$A$2:$A$200,0))</f>
        <v>3</v>
      </c>
      <c r="H206" s="3" t="n">
        <f aca="false">INDEX(Prompts!$E$2:$E$200,MATCH($B206,Prompts!$A$2:$A$200,0))</f>
        <v>4</v>
      </c>
      <c r="I206" s="3" t="n">
        <f aca="false">IF(D206="",0,IF(OR(F206=IF(G206&lt;=Settings!$B$3,"simple",IF(G206&lt;=Settings!$B$4,"coding","critical")),F206=IF(H206&lt;=Settings!$B$3,"simple",IF(H206&lt;=Settings!$B$4,"coding","critical"))),1,0))</f>
        <v>1</v>
      </c>
      <c r="J206" s="3" t="n">
        <f aca="false">IF(D206="",0,IF(AND(D206&gt;=G206,D206&lt;=H206),1,0))</f>
        <v>1</v>
      </c>
      <c r="K206" s="3" t="n">
        <f aca="false">IF(E206=INDEX(Prompts!$F$2:$F$200,MATCH($B206,Prompts!$A$2:$A$200,0)),1,0)</f>
        <v>1</v>
      </c>
      <c r="L206" s="3" t="n">
        <f aca="false">IF(AND(G206&gt;Settings!$B$4,OR(D206="",D206&lt;=Settings!$B$4)),1,0)</f>
        <v>0</v>
      </c>
      <c r="M206" s="3" t="n">
        <v>4.3</v>
      </c>
      <c r="N206" s="3" t="n">
        <v>294</v>
      </c>
      <c r="O206" s="3" t="n">
        <v>49</v>
      </c>
      <c r="P206" s="14" t="n">
        <v>6.9E-005</v>
      </c>
      <c r="Q206" s="3" t="s">
        <v>18</v>
      </c>
      <c r="R206" s="3"/>
    </row>
    <row r="207" customFormat="false" ht="15" hidden="false" customHeight="false" outlineLevel="0" collapsed="false">
      <c r="A207" s="3" t="s">
        <v>18</v>
      </c>
      <c r="B207" s="3" t="n">
        <v>14</v>
      </c>
      <c r="C207" s="3" t="s">
        <v>130</v>
      </c>
      <c r="D207" s="3" t="n">
        <v>2</v>
      </c>
      <c r="E207" s="3" t="s">
        <v>53</v>
      </c>
      <c r="F207" s="3" t="str">
        <f aca="false">IF(D207="","none",IF(D207&lt;=Settings!$B$3,"simple",IF(D207&lt;=Settings!$B$4,"coding","critical")))</f>
        <v>simple</v>
      </c>
      <c r="G207" s="3" t="n">
        <f aca="false">INDEX(Prompts!$D$2:$D$200,MATCH($B207,Prompts!$A$2:$A$200,0))</f>
        <v>2</v>
      </c>
      <c r="H207" s="3" t="n">
        <f aca="false">INDEX(Prompts!$E$2:$E$200,MATCH($B207,Prompts!$A$2:$A$200,0))</f>
        <v>4</v>
      </c>
      <c r="I207" s="3" t="n">
        <f aca="false">IF(D207="",0,IF(OR(F207=IF(G207&lt;=Settings!$B$3,"simple",IF(G207&lt;=Settings!$B$4,"coding","critical")),F207=IF(H207&lt;=Settings!$B$3,"simple",IF(H207&lt;=Settings!$B$4,"coding","critical"))),1,0))</f>
        <v>1</v>
      </c>
      <c r="J207" s="3" t="n">
        <f aca="false">IF(D207="",0,IF(AND(D207&gt;=G207,D207&lt;=H207),1,0))</f>
        <v>1</v>
      </c>
      <c r="K207" s="3" t="n">
        <f aca="false">IF(E207=INDEX(Prompts!$F$2:$F$200,MATCH($B207,Prompts!$A$2:$A$200,0)),1,0)</f>
        <v>1</v>
      </c>
      <c r="L207" s="3" t="n">
        <f aca="false">IF(AND(G207&gt;Settings!$B$4,OR(D207="",D207&lt;=Settings!$B$4)),1,0)</f>
        <v>0</v>
      </c>
      <c r="M207" s="3" t="n">
        <v>4.77</v>
      </c>
      <c r="N207" s="3" t="n">
        <v>293</v>
      </c>
      <c r="O207" s="3" t="n">
        <v>103</v>
      </c>
      <c r="P207" s="14" t="n">
        <v>7.9E-005</v>
      </c>
      <c r="Q207" s="3" t="s">
        <v>18</v>
      </c>
      <c r="R207" s="3"/>
    </row>
    <row r="208" customFormat="false" ht="15" hidden="false" customHeight="false" outlineLevel="0" collapsed="false">
      <c r="A208" s="3" t="s">
        <v>18</v>
      </c>
      <c r="B208" s="3" t="n">
        <v>15</v>
      </c>
      <c r="C208" s="3" t="s">
        <v>154</v>
      </c>
      <c r="D208" s="3" t="n">
        <v>4</v>
      </c>
      <c r="E208" s="3" t="s">
        <v>49</v>
      </c>
      <c r="F208" s="3" t="str">
        <f aca="false">IF(D208="","none",IF(D208&lt;=Settings!$B$3,"simple",IF(D208&lt;=Settings!$B$4,"coding","critical")))</f>
        <v>coding</v>
      </c>
      <c r="G208" s="3" t="n">
        <f aca="false">INDEX(Prompts!$D$2:$D$200,MATCH($B208,Prompts!$A$2:$A$200,0))</f>
        <v>3</v>
      </c>
      <c r="H208" s="3" t="n">
        <f aca="false">INDEX(Prompts!$E$2:$E$200,MATCH($B208,Prompts!$A$2:$A$200,0))</f>
        <v>5</v>
      </c>
      <c r="I208" s="3" t="n">
        <f aca="false">IF(D208="",0,IF(OR(F208=IF(G208&lt;=Settings!$B$3,"simple",IF(G208&lt;=Settings!$B$4,"coding","critical")),F208=IF(H208&lt;=Settings!$B$3,"simple",IF(H208&lt;=Settings!$B$4,"coding","critical"))),1,0))</f>
        <v>1</v>
      </c>
      <c r="J208" s="3" t="n">
        <f aca="false">IF(D208="",0,IF(AND(D208&gt;=G208,D208&lt;=H208),1,0))</f>
        <v>1</v>
      </c>
      <c r="K208" s="3" t="n">
        <f aca="false">IF(E208=INDEX(Prompts!$F$2:$F$200,MATCH($B208,Prompts!$A$2:$A$200,0)),1,0)</f>
        <v>1</v>
      </c>
      <c r="L208" s="3" t="n">
        <f aca="false">IF(AND(G208&gt;Settings!$B$4,OR(D208="",D208&lt;=Settings!$B$4)),1,0)</f>
        <v>0</v>
      </c>
      <c r="M208" s="3" t="n">
        <v>4.24</v>
      </c>
      <c r="N208" s="3" t="n">
        <v>299</v>
      </c>
      <c r="O208" s="3" t="n">
        <v>51</v>
      </c>
      <c r="P208" s="14" t="n">
        <v>7E-005</v>
      </c>
      <c r="Q208" s="3" t="s">
        <v>18</v>
      </c>
      <c r="R208" s="3"/>
    </row>
    <row r="209" customFormat="false" ht="15" hidden="false" customHeight="false" outlineLevel="0" collapsed="false">
      <c r="A209" s="3" t="s">
        <v>18</v>
      </c>
      <c r="B209" s="3" t="n">
        <v>16</v>
      </c>
      <c r="C209" s="3" t="s">
        <v>132</v>
      </c>
      <c r="D209" s="3" t="n">
        <v>3</v>
      </c>
      <c r="E209" s="3" t="s">
        <v>49</v>
      </c>
      <c r="F209" s="3" t="str">
        <f aca="false">IF(D209="","none",IF(D209&lt;=Settings!$B$3,"simple",IF(D209&lt;=Settings!$B$4,"coding","critical")))</f>
        <v>simple</v>
      </c>
      <c r="G209" s="3" t="n">
        <f aca="false">INDEX(Prompts!$D$2:$D$200,MATCH($B209,Prompts!$A$2:$A$200,0))</f>
        <v>3</v>
      </c>
      <c r="H209" s="3" t="n">
        <f aca="false">INDEX(Prompts!$E$2:$E$200,MATCH($B209,Prompts!$A$2:$A$200,0))</f>
        <v>5</v>
      </c>
      <c r="I209" s="3" t="n">
        <f aca="false">IF(D209="",0,IF(OR(F209=IF(G209&lt;=Settings!$B$3,"simple",IF(G209&lt;=Settings!$B$4,"coding","critical")),F209=IF(H209&lt;=Settings!$B$3,"simple",IF(H209&lt;=Settings!$B$4,"coding","critical"))),1,0))</f>
        <v>1</v>
      </c>
      <c r="J209" s="3" t="n">
        <f aca="false">IF(D209="",0,IF(AND(D209&gt;=G209,D209&lt;=H209),1,0))</f>
        <v>1</v>
      </c>
      <c r="K209" s="3" t="n">
        <f aca="false">IF(E209=INDEX(Prompts!$F$2:$F$200,MATCH($B209,Prompts!$A$2:$A$200,0)),1,0)</f>
        <v>1</v>
      </c>
      <c r="L209" s="3" t="n">
        <f aca="false">IF(AND(G209&gt;Settings!$B$4,OR(D209="",D209&lt;=Settings!$B$4)),1,0)</f>
        <v>0</v>
      </c>
      <c r="M209" s="3" t="n">
        <v>5.64</v>
      </c>
      <c r="N209" s="3" t="n">
        <v>301</v>
      </c>
      <c r="O209" s="3" t="n">
        <v>46</v>
      </c>
      <c r="P209" s="14" t="n">
        <v>6.9E-005</v>
      </c>
      <c r="Q209" s="3" t="s">
        <v>18</v>
      </c>
      <c r="R209" s="3"/>
    </row>
    <row r="210" customFormat="false" ht="15" hidden="false" customHeight="false" outlineLevel="0" collapsed="false">
      <c r="A210" s="3" t="s">
        <v>18</v>
      </c>
      <c r="B210" s="3" t="n">
        <v>17</v>
      </c>
      <c r="C210" s="3" t="s">
        <v>132</v>
      </c>
      <c r="D210" s="3" t="n">
        <v>3</v>
      </c>
      <c r="E210" s="3" t="s">
        <v>49</v>
      </c>
      <c r="F210" s="3" t="str">
        <f aca="false">IF(D210="","none",IF(D210&lt;=Settings!$B$3,"simple",IF(D210&lt;=Settings!$B$4,"coding","critical")))</f>
        <v>simple</v>
      </c>
      <c r="G210" s="3" t="n">
        <f aca="false">INDEX(Prompts!$D$2:$D$200,MATCH($B210,Prompts!$A$2:$A$200,0))</f>
        <v>3</v>
      </c>
      <c r="H210" s="3" t="n">
        <f aca="false">INDEX(Prompts!$E$2:$E$200,MATCH($B210,Prompts!$A$2:$A$200,0))</f>
        <v>5</v>
      </c>
      <c r="I210" s="3" t="n">
        <f aca="false">IF(D210="",0,IF(OR(F210=IF(G210&lt;=Settings!$B$3,"simple",IF(G210&lt;=Settings!$B$4,"coding","critical")),F210=IF(H210&lt;=Settings!$B$3,"simple",IF(H210&lt;=Settings!$B$4,"coding","critical"))),1,0))</f>
        <v>1</v>
      </c>
      <c r="J210" s="3" t="n">
        <f aca="false">IF(D210="",0,IF(AND(D210&gt;=G210,D210&lt;=H210),1,0))</f>
        <v>1</v>
      </c>
      <c r="K210" s="3" t="n">
        <f aca="false">IF(E210=INDEX(Prompts!$F$2:$F$200,MATCH($B210,Prompts!$A$2:$A$200,0)),1,0)</f>
        <v>0</v>
      </c>
      <c r="L210" s="3" t="n">
        <f aca="false">IF(AND(G210&gt;Settings!$B$4,OR(D210="",D210&lt;=Settings!$B$4)),1,0)</f>
        <v>0</v>
      </c>
      <c r="M210" s="3" t="n">
        <v>6.12</v>
      </c>
      <c r="N210" s="3" t="n">
        <v>296</v>
      </c>
      <c r="O210" s="3" t="n">
        <v>37</v>
      </c>
      <c r="P210" s="14" t="n">
        <v>6.7E-005</v>
      </c>
      <c r="Q210" s="3" t="s">
        <v>18</v>
      </c>
      <c r="R210" s="3"/>
    </row>
    <row r="211" customFormat="false" ht="15" hidden="false" customHeight="false" outlineLevel="0" collapsed="false">
      <c r="A211" s="3" t="s">
        <v>18</v>
      </c>
      <c r="B211" s="3" t="n">
        <v>18</v>
      </c>
      <c r="C211" s="3" t="s">
        <v>154</v>
      </c>
      <c r="D211" s="3" t="n">
        <v>4</v>
      </c>
      <c r="E211" s="3" t="s">
        <v>49</v>
      </c>
      <c r="F211" s="3" t="str">
        <f aca="false">IF(D211="","none",IF(D211&lt;=Settings!$B$3,"simple",IF(D211&lt;=Settings!$B$4,"coding","critical")))</f>
        <v>coding</v>
      </c>
      <c r="G211" s="3" t="n">
        <f aca="false">INDEX(Prompts!$D$2:$D$200,MATCH($B211,Prompts!$A$2:$A$200,0))</f>
        <v>4</v>
      </c>
      <c r="H211" s="3" t="n">
        <f aca="false">INDEX(Prompts!$E$2:$E$200,MATCH($B211,Prompts!$A$2:$A$200,0))</f>
        <v>6</v>
      </c>
      <c r="I211" s="3" t="n">
        <f aca="false">IF(D211="",0,IF(OR(F211=IF(G211&lt;=Settings!$B$3,"simple",IF(G211&lt;=Settings!$B$4,"coding","critical")),F211=IF(H211&lt;=Settings!$B$3,"simple",IF(H211&lt;=Settings!$B$4,"coding","critical"))),1,0))</f>
        <v>1</v>
      </c>
      <c r="J211" s="3" t="n">
        <f aca="false">IF(D211="",0,IF(AND(D211&gt;=G211,D211&lt;=H211),1,0))</f>
        <v>1</v>
      </c>
      <c r="K211" s="3" t="n">
        <f aca="false">IF(E211=INDEX(Prompts!$F$2:$F$200,MATCH($B211,Prompts!$A$2:$A$200,0)),1,0)</f>
        <v>1</v>
      </c>
      <c r="L211" s="3" t="n">
        <f aca="false">IF(AND(G211&gt;Settings!$B$4,OR(D211="",D211&lt;=Settings!$B$4)),1,0)</f>
        <v>0</v>
      </c>
      <c r="M211" s="3" t="n">
        <v>5.5</v>
      </c>
      <c r="N211" s="3" t="n">
        <v>303</v>
      </c>
      <c r="O211" s="3" t="n">
        <v>50</v>
      </c>
      <c r="P211" s="14" t="n">
        <v>7.1E-005</v>
      </c>
      <c r="Q211" s="3" t="s">
        <v>18</v>
      </c>
      <c r="R211" s="3"/>
    </row>
    <row r="212" customFormat="false" ht="15" hidden="false" customHeight="false" outlineLevel="0" collapsed="false">
      <c r="A212" s="3" t="s">
        <v>18</v>
      </c>
      <c r="B212" s="3" t="n">
        <v>19</v>
      </c>
      <c r="C212" s="3" t="s">
        <v>154</v>
      </c>
      <c r="D212" s="3" t="n">
        <v>4</v>
      </c>
      <c r="E212" s="3" t="s">
        <v>49</v>
      </c>
      <c r="F212" s="3" t="str">
        <f aca="false">IF(D212="","none",IF(D212&lt;=Settings!$B$3,"simple",IF(D212&lt;=Settings!$B$4,"coding","critical")))</f>
        <v>coding</v>
      </c>
      <c r="G212" s="3" t="n">
        <f aca="false">INDEX(Prompts!$D$2:$D$200,MATCH($B212,Prompts!$A$2:$A$200,0))</f>
        <v>4</v>
      </c>
      <c r="H212" s="3" t="n">
        <f aca="false">INDEX(Prompts!$E$2:$E$200,MATCH($B212,Prompts!$A$2:$A$200,0))</f>
        <v>6</v>
      </c>
      <c r="I212" s="3" t="n">
        <f aca="false">IF(D212="",0,IF(OR(F212=IF(G212&lt;=Settings!$B$3,"simple",IF(G212&lt;=Settings!$B$4,"coding","critical")),F212=IF(H212&lt;=Settings!$B$3,"simple",IF(H212&lt;=Settings!$B$4,"coding","critical"))),1,0))</f>
        <v>1</v>
      </c>
      <c r="J212" s="3" t="n">
        <f aca="false">IF(D212="",0,IF(AND(D212&gt;=G212,D212&lt;=H212),1,0))</f>
        <v>1</v>
      </c>
      <c r="K212" s="3" t="n">
        <f aca="false">IF(E212=INDEX(Prompts!$F$2:$F$200,MATCH($B212,Prompts!$A$2:$A$200,0)),1,0)</f>
        <v>1</v>
      </c>
      <c r="L212" s="3" t="n">
        <f aca="false">IF(AND(G212&gt;Settings!$B$4,OR(D212="",D212&lt;=Settings!$B$4)),1,0)</f>
        <v>0</v>
      </c>
      <c r="M212" s="3" t="n">
        <v>5.4</v>
      </c>
      <c r="N212" s="3" t="n">
        <v>300</v>
      </c>
      <c r="O212" s="3" t="n">
        <v>54</v>
      </c>
      <c r="P212" s="14" t="n">
        <v>7.1E-005</v>
      </c>
      <c r="Q212" s="3" t="s">
        <v>18</v>
      </c>
      <c r="R212" s="3"/>
    </row>
    <row r="213" customFormat="false" ht="15" hidden="false" customHeight="false" outlineLevel="0" collapsed="false">
      <c r="A213" s="3" t="s">
        <v>18</v>
      </c>
      <c r="B213" s="3" t="n">
        <v>20</v>
      </c>
      <c r="C213" s="3" t="s">
        <v>138</v>
      </c>
      <c r="D213" s="3" t="n">
        <v>5</v>
      </c>
      <c r="E213" s="3" t="s">
        <v>49</v>
      </c>
      <c r="F213" s="3" t="str">
        <f aca="false">IF(D213="","none",IF(D213&lt;=Settings!$B$3,"simple",IF(D213&lt;=Settings!$B$4,"coding","critical")))</f>
        <v>coding</v>
      </c>
      <c r="G213" s="3" t="n">
        <f aca="false">INDEX(Prompts!$D$2:$D$200,MATCH($B213,Prompts!$A$2:$A$200,0))</f>
        <v>4</v>
      </c>
      <c r="H213" s="3" t="n">
        <f aca="false">INDEX(Prompts!$E$2:$E$200,MATCH($B213,Prompts!$A$2:$A$200,0))</f>
        <v>6</v>
      </c>
      <c r="I213" s="3" t="n">
        <f aca="false">IF(D213="",0,IF(OR(F213=IF(G213&lt;=Settings!$B$3,"simple",IF(G213&lt;=Settings!$B$4,"coding","critical")),F213=IF(H213&lt;=Settings!$B$3,"simple",IF(H213&lt;=Settings!$B$4,"coding","critical"))),1,0))</f>
        <v>1</v>
      </c>
      <c r="J213" s="3" t="n">
        <f aca="false">IF(D213="",0,IF(AND(D213&gt;=G213,D213&lt;=H213),1,0))</f>
        <v>1</v>
      </c>
      <c r="K213" s="3" t="n">
        <f aca="false">IF(E213=INDEX(Prompts!$F$2:$F$200,MATCH($B213,Prompts!$A$2:$A$200,0)),1,0)</f>
        <v>1</v>
      </c>
      <c r="L213" s="3" t="n">
        <f aca="false">IF(AND(G213&gt;Settings!$B$4,OR(D213="",D213&lt;=Settings!$B$4)),1,0)</f>
        <v>0</v>
      </c>
      <c r="M213" s="3" t="n">
        <v>5.59</v>
      </c>
      <c r="N213" s="3" t="n">
        <v>296</v>
      </c>
      <c r="O213" s="3" t="n">
        <v>54</v>
      </c>
      <c r="P213" s="14" t="n">
        <v>7E-005</v>
      </c>
      <c r="Q213" s="3" t="s">
        <v>18</v>
      </c>
      <c r="R213" s="3"/>
    </row>
    <row r="214" customFormat="false" ht="15" hidden="false" customHeight="false" outlineLevel="0" collapsed="false">
      <c r="A214" s="3" t="s">
        <v>18</v>
      </c>
      <c r="B214" s="3" t="n">
        <v>21</v>
      </c>
      <c r="C214" s="3" t="s">
        <v>171</v>
      </c>
      <c r="D214" s="3" t="n">
        <v>2</v>
      </c>
      <c r="E214" s="3" t="s">
        <v>56</v>
      </c>
      <c r="F214" s="3" t="str">
        <f aca="false">IF(D214="","none",IF(D214&lt;=Settings!$B$3,"simple",IF(D214&lt;=Settings!$B$4,"coding","critical")))</f>
        <v>simple</v>
      </c>
      <c r="G214" s="3" t="n">
        <f aca="false">INDEX(Prompts!$D$2:$D$200,MATCH($B214,Prompts!$A$2:$A$200,0))</f>
        <v>3</v>
      </c>
      <c r="H214" s="3" t="n">
        <f aca="false">INDEX(Prompts!$E$2:$E$200,MATCH($B214,Prompts!$A$2:$A$200,0))</f>
        <v>5</v>
      </c>
      <c r="I214" s="3" t="n">
        <f aca="false">IF(D214="",0,IF(OR(F214=IF(G214&lt;=Settings!$B$3,"simple",IF(G214&lt;=Settings!$B$4,"coding","critical")),F214=IF(H214&lt;=Settings!$B$3,"simple",IF(H214&lt;=Settings!$B$4,"coding","critical"))),1,0))</f>
        <v>1</v>
      </c>
      <c r="J214" s="3" t="n">
        <f aca="false">IF(D214="",0,IF(AND(D214&gt;=G214,D214&lt;=H214),1,0))</f>
        <v>0</v>
      </c>
      <c r="K214" s="3" t="n">
        <f aca="false">IF(E214=INDEX(Prompts!$F$2:$F$200,MATCH($B214,Prompts!$A$2:$A$200,0)),1,0)</f>
        <v>1</v>
      </c>
      <c r="L214" s="3" t="n">
        <f aca="false">IF(AND(G214&gt;Settings!$B$4,OR(D214="",D214&lt;=Settings!$B$4)),1,0)</f>
        <v>0</v>
      </c>
      <c r="M214" s="3" t="n">
        <v>4.6</v>
      </c>
      <c r="N214" s="3" t="n">
        <v>294</v>
      </c>
      <c r="O214" s="3" t="n">
        <v>59</v>
      </c>
      <c r="P214" s="14" t="n">
        <v>7.1E-005</v>
      </c>
      <c r="Q214" s="3" t="s">
        <v>18</v>
      </c>
      <c r="R214" s="3"/>
    </row>
    <row r="215" customFormat="false" ht="15" hidden="false" customHeight="false" outlineLevel="0" collapsed="false">
      <c r="A215" s="3" t="s">
        <v>18</v>
      </c>
      <c r="B215" s="3" t="n">
        <v>22</v>
      </c>
      <c r="C215" s="3" t="s">
        <v>178</v>
      </c>
      <c r="D215" s="3" t="n">
        <v>5</v>
      </c>
      <c r="E215" s="3" t="s">
        <v>58</v>
      </c>
      <c r="F215" s="3" t="str">
        <f aca="false">IF(D215="","none",IF(D215&lt;=Settings!$B$3,"simple",IF(D215&lt;=Settings!$B$4,"coding","critical")))</f>
        <v>coding</v>
      </c>
      <c r="G215" s="3" t="n">
        <f aca="false">INDEX(Prompts!$D$2:$D$200,MATCH($B215,Prompts!$A$2:$A$200,0))</f>
        <v>4</v>
      </c>
      <c r="H215" s="3" t="n">
        <f aca="false">INDEX(Prompts!$E$2:$E$200,MATCH($B215,Prompts!$A$2:$A$200,0))</f>
        <v>6</v>
      </c>
      <c r="I215" s="3" t="n">
        <f aca="false">IF(D215="",0,IF(OR(F215=IF(G215&lt;=Settings!$B$3,"simple",IF(G215&lt;=Settings!$B$4,"coding","critical")),F215=IF(H215&lt;=Settings!$B$3,"simple",IF(H215&lt;=Settings!$B$4,"coding","critical"))),1,0))</f>
        <v>1</v>
      </c>
      <c r="J215" s="3" t="n">
        <f aca="false">IF(D215="",0,IF(AND(D215&gt;=G215,D215&lt;=H215),1,0))</f>
        <v>1</v>
      </c>
      <c r="K215" s="3" t="n">
        <f aca="false">IF(E215=INDEX(Prompts!$F$2:$F$200,MATCH($B215,Prompts!$A$2:$A$200,0)),1,0)</f>
        <v>1</v>
      </c>
      <c r="L215" s="3" t="n">
        <f aca="false">IF(AND(G215&gt;Settings!$B$4,OR(D215="",D215&lt;=Settings!$B$4)),1,0)</f>
        <v>0</v>
      </c>
      <c r="M215" s="3" t="n">
        <v>10.74</v>
      </c>
      <c r="N215" s="3" t="n">
        <v>294</v>
      </c>
      <c r="O215" s="3" t="n">
        <v>198</v>
      </c>
      <c r="P215" s="14" t="n">
        <v>9.8E-005</v>
      </c>
      <c r="Q215" s="3" t="s">
        <v>18</v>
      </c>
      <c r="R215" s="3"/>
    </row>
    <row r="216" customFormat="false" ht="15" hidden="false" customHeight="false" outlineLevel="0" collapsed="false">
      <c r="A216" s="3" t="s">
        <v>18</v>
      </c>
      <c r="B216" s="3" t="n">
        <v>23</v>
      </c>
      <c r="C216" s="3" t="s">
        <v>138</v>
      </c>
      <c r="D216" s="3" t="n">
        <v>5</v>
      </c>
      <c r="E216" s="3" t="s">
        <v>49</v>
      </c>
      <c r="F216" s="3" t="str">
        <f aca="false">IF(D216="","none",IF(D216&lt;=Settings!$B$3,"simple",IF(D216&lt;=Settings!$B$4,"coding","critical")))</f>
        <v>coding</v>
      </c>
      <c r="G216" s="3" t="n">
        <f aca="false">INDEX(Prompts!$D$2:$D$200,MATCH($B216,Prompts!$A$2:$A$200,0))</f>
        <v>5</v>
      </c>
      <c r="H216" s="3" t="n">
        <f aca="false">INDEX(Prompts!$E$2:$E$200,MATCH($B216,Prompts!$A$2:$A$200,0))</f>
        <v>6</v>
      </c>
      <c r="I216" s="3" t="n">
        <f aca="false">IF(D216="",0,IF(OR(F216=IF(G216&lt;=Settings!$B$3,"simple",IF(G216&lt;=Settings!$B$4,"coding","critical")),F216=IF(H216&lt;=Settings!$B$3,"simple",IF(H216&lt;=Settings!$B$4,"coding","critical"))),1,0))</f>
        <v>1</v>
      </c>
      <c r="J216" s="3" t="n">
        <f aca="false">IF(D216="",0,IF(AND(D216&gt;=G216,D216&lt;=H216),1,0))</f>
        <v>1</v>
      </c>
      <c r="K216" s="3" t="n">
        <f aca="false">IF(E216=INDEX(Prompts!$F$2:$F$200,MATCH($B216,Prompts!$A$2:$A$200,0)),1,0)</f>
        <v>1</v>
      </c>
      <c r="L216" s="3" t="n">
        <f aca="false">IF(AND(G216&gt;Settings!$B$4,OR(D216="",D216&lt;=Settings!$B$4)),1,0)</f>
        <v>0</v>
      </c>
      <c r="M216" s="3" t="n">
        <v>7.21</v>
      </c>
      <c r="N216" s="3" t="n">
        <v>299</v>
      </c>
      <c r="O216" s="3" t="n">
        <v>44</v>
      </c>
      <c r="P216" s="14" t="n">
        <v>6.9E-005</v>
      </c>
      <c r="Q216" s="3" t="s">
        <v>18</v>
      </c>
      <c r="R216" s="3"/>
    </row>
    <row r="217" customFormat="false" ht="15" hidden="false" customHeight="false" outlineLevel="0" collapsed="false">
      <c r="A217" s="3" t="s">
        <v>18</v>
      </c>
      <c r="B217" s="3" t="n">
        <v>24</v>
      </c>
      <c r="C217" s="3" t="s">
        <v>138</v>
      </c>
      <c r="D217" s="3" t="n">
        <v>5</v>
      </c>
      <c r="E217" s="3" t="s">
        <v>49</v>
      </c>
      <c r="F217" s="3" t="str">
        <f aca="false">IF(D217="","none",IF(D217&lt;=Settings!$B$3,"simple",IF(D217&lt;=Settings!$B$4,"coding","critical")))</f>
        <v>coding</v>
      </c>
      <c r="G217" s="3" t="n">
        <f aca="false">INDEX(Prompts!$D$2:$D$200,MATCH($B217,Prompts!$A$2:$A$200,0))</f>
        <v>5</v>
      </c>
      <c r="H217" s="3" t="n">
        <f aca="false">INDEX(Prompts!$E$2:$E$200,MATCH($B217,Prompts!$A$2:$A$200,0))</f>
        <v>7</v>
      </c>
      <c r="I217" s="3" t="n">
        <f aca="false">IF(D217="",0,IF(OR(F217=IF(G217&lt;=Settings!$B$3,"simple",IF(G217&lt;=Settings!$B$4,"coding","critical")),F217=IF(H217&lt;=Settings!$B$3,"simple",IF(H217&lt;=Settings!$B$4,"coding","critical"))),1,0))</f>
        <v>1</v>
      </c>
      <c r="J217" s="3" t="n">
        <f aca="false">IF(D217="",0,IF(AND(D217&gt;=G217,D217&lt;=H217),1,0))</f>
        <v>1</v>
      </c>
      <c r="K217" s="3" t="n">
        <f aca="false">IF(E217=INDEX(Prompts!$F$2:$F$200,MATCH($B217,Prompts!$A$2:$A$200,0)),1,0)</f>
        <v>1</v>
      </c>
      <c r="L217" s="3" t="n">
        <f aca="false">IF(AND(G217&gt;Settings!$B$4,OR(D217="",D217&lt;=Settings!$B$4)),1,0)</f>
        <v>0</v>
      </c>
      <c r="M217" s="3" t="n">
        <v>6.12</v>
      </c>
      <c r="N217" s="3" t="n">
        <v>297</v>
      </c>
      <c r="O217" s="3" t="n">
        <v>52</v>
      </c>
      <c r="P217" s="14" t="n">
        <v>7E-005</v>
      </c>
      <c r="Q217" s="3" t="s">
        <v>18</v>
      </c>
      <c r="R217" s="3"/>
    </row>
    <row r="218" customFormat="false" ht="15" hidden="false" customHeight="false" outlineLevel="0" collapsed="false">
      <c r="A218" s="3" t="s">
        <v>18</v>
      </c>
      <c r="B218" s="3" t="n">
        <v>25</v>
      </c>
      <c r="C218" s="3" t="s">
        <v>140</v>
      </c>
      <c r="D218" s="3" t="n">
        <v>6</v>
      </c>
      <c r="E218" s="3" t="s">
        <v>49</v>
      </c>
      <c r="F218" s="3" t="str">
        <f aca="false">IF(D218="","none",IF(D218&lt;=Settings!$B$3,"simple",IF(D218&lt;=Settings!$B$4,"coding","critical")))</f>
        <v>coding</v>
      </c>
      <c r="G218" s="3" t="n">
        <f aca="false">INDEX(Prompts!$D$2:$D$200,MATCH($B218,Prompts!$A$2:$A$200,0))</f>
        <v>5</v>
      </c>
      <c r="H218" s="3" t="n">
        <f aca="false">INDEX(Prompts!$E$2:$E$200,MATCH($B218,Prompts!$A$2:$A$200,0))</f>
        <v>7</v>
      </c>
      <c r="I218" s="3" t="n">
        <f aca="false">IF(D218="",0,IF(OR(F218=IF(G218&lt;=Settings!$B$3,"simple",IF(G218&lt;=Settings!$B$4,"coding","critical")),F218=IF(H218&lt;=Settings!$B$3,"simple",IF(H218&lt;=Settings!$B$4,"coding","critical"))),1,0))</f>
        <v>1</v>
      </c>
      <c r="J218" s="3" t="n">
        <f aca="false">IF(D218="",0,IF(AND(D218&gt;=G218,D218&lt;=H218),1,0))</f>
        <v>1</v>
      </c>
      <c r="K218" s="3" t="n">
        <f aca="false">IF(E218=INDEX(Prompts!$F$2:$F$200,MATCH($B218,Prompts!$A$2:$A$200,0)),1,0)</f>
        <v>1</v>
      </c>
      <c r="L218" s="3" t="n">
        <f aca="false">IF(AND(G218&gt;Settings!$B$4,OR(D218="",D218&lt;=Settings!$B$4)),1,0)</f>
        <v>0</v>
      </c>
      <c r="M218" s="3" t="n">
        <v>6.03</v>
      </c>
      <c r="N218" s="3" t="n">
        <v>301</v>
      </c>
      <c r="O218" s="3" t="n">
        <v>60</v>
      </c>
      <c r="P218" s="14" t="n">
        <v>7.2E-005</v>
      </c>
      <c r="Q218" s="3" t="s">
        <v>18</v>
      </c>
      <c r="R218" s="3"/>
    </row>
    <row r="219" customFormat="false" ht="15" hidden="false" customHeight="false" outlineLevel="0" collapsed="false">
      <c r="A219" s="3" t="s">
        <v>18</v>
      </c>
      <c r="B219" s="3" t="n">
        <v>26</v>
      </c>
      <c r="C219" s="3" t="s">
        <v>138</v>
      </c>
      <c r="D219" s="3" t="n">
        <v>5</v>
      </c>
      <c r="E219" s="3" t="s">
        <v>49</v>
      </c>
      <c r="F219" s="3" t="str">
        <f aca="false">IF(D219="","none",IF(D219&lt;=Settings!$B$3,"simple",IF(D219&lt;=Settings!$B$4,"coding","critical")))</f>
        <v>coding</v>
      </c>
      <c r="G219" s="3" t="n">
        <f aca="false">INDEX(Prompts!$D$2:$D$200,MATCH($B219,Prompts!$A$2:$A$200,0))</f>
        <v>5</v>
      </c>
      <c r="H219" s="3" t="n">
        <f aca="false">INDEX(Prompts!$E$2:$E$200,MATCH($B219,Prompts!$A$2:$A$200,0))</f>
        <v>6</v>
      </c>
      <c r="I219" s="3" t="n">
        <f aca="false">IF(D219="",0,IF(OR(F219=IF(G219&lt;=Settings!$B$3,"simple",IF(G219&lt;=Settings!$B$4,"coding","critical")),F219=IF(H219&lt;=Settings!$B$3,"simple",IF(H219&lt;=Settings!$B$4,"coding","critical"))),1,0))</f>
        <v>1</v>
      </c>
      <c r="J219" s="3" t="n">
        <f aca="false">IF(D219="",0,IF(AND(D219&gt;=G219,D219&lt;=H219),1,0))</f>
        <v>1</v>
      </c>
      <c r="K219" s="3" t="n">
        <f aca="false">IF(E219=INDEX(Prompts!$F$2:$F$200,MATCH($B219,Prompts!$A$2:$A$200,0)),1,0)</f>
        <v>1</v>
      </c>
      <c r="L219" s="3" t="n">
        <f aca="false">IF(AND(G219&gt;Settings!$B$4,OR(D219="",D219&lt;=Settings!$B$4)),1,0)</f>
        <v>0</v>
      </c>
      <c r="M219" s="3" t="n">
        <v>10.14</v>
      </c>
      <c r="N219" s="3" t="n">
        <v>291</v>
      </c>
      <c r="O219" s="3" t="n">
        <v>111</v>
      </c>
      <c r="P219" s="14" t="n">
        <v>8E-005</v>
      </c>
      <c r="Q219" s="3" t="s">
        <v>18</v>
      </c>
      <c r="R219" s="3"/>
    </row>
    <row r="220" customFormat="false" ht="15" hidden="false" customHeight="false" outlineLevel="0" collapsed="false">
      <c r="A220" s="3" t="s">
        <v>18</v>
      </c>
      <c r="B220" s="3" t="n">
        <v>27</v>
      </c>
      <c r="C220" s="3" t="s">
        <v>157</v>
      </c>
      <c r="D220" s="3" t="n">
        <v>7</v>
      </c>
      <c r="E220" s="3" t="s">
        <v>49</v>
      </c>
      <c r="F220" s="3" t="str">
        <f aca="false">IF(D220="","none",IF(D220&lt;=Settings!$B$3,"simple",IF(D220&lt;=Settings!$B$4,"coding","critical")))</f>
        <v>coding</v>
      </c>
      <c r="G220" s="3" t="n">
        <f aca="false">INDEX(Prompts!$D$2:$D$200,MATCH($B220,Prompts!$A$2:$A$200,0))</f>
        <v>7</v>
      </c>
      <c r="H220" s="3" t="n">
        <f aca="false">INDEX(Prompts!$E$2:$E$200,MATCH($B220,Prompts!$A$2:$A$200,0))</f>
        <v>9</v>
      </c>
      <c r="I220" s="3" t="n">
        <f aca="false">IF(D220="",0,IF(OR(F220=IF(G220&lt;=Settings!$B$3,"simple",IF(G220&lt;=Settings!$B$4,"coding","critical")),F220=IF(H220&lt;=Settings!$B$3,"simple",IF(H220&lt;=Settings!$B$4,"coding","critical"))),1,0))</f>
        <v>1</v>
      </c>
      <c r="J220" s="3" t="n">
        <f aca="false">IF(D220="",0,IF(AND(D220&gt;=G220,D220&lt;=H220),1,0))</f>
        <v>1</v>
      </c>
      <c r="K220" s="3" t="n">
        <f aca="false">IF(E220=INDEX(Prompts!$F$2:$F$200,MATCH($B220,Prompts!$A$2:$A$200,0)),1,0)</f>
        <v>1</v>
      </c>
      <c r="L220" s="3" t="n">
        <f aca="false">IF(AND(G220&gt;Settings!$B$4,OR(D220="",D220&lt;=Settings!$B$4)),1,0)</f>
        <v>0</v>
      </c>
      <c r="M220" s="3" t="n">
        <v>7.36</v>
      </c>
      <c r="N220" s="3" t="n">
        <v>297</v>
      </c>
      <c r="O220" s="3" t="n">
        <v>58</v>
      </c>
      <c r="P220" s="14" t="n">
        <v>7.1E-005</v>
      </c>
      <c r="Q220" s="3" t="s">
        <v>18</v>
      </c>
      <c r="R220" s="3"/>
    </row>
    <row r="221" customFormat="false" ht="15" hidden="false" customHeight="false" outlineLevel="0" collapsed="false">
      <c r="A221" s="3" t="s">
        <v>18</v>
      </c>
      <c r="B221" s="3" t="n">
        <v>28</v>
      </c>
      <c r="C221" s="3" t="s">
        <v>158</v>
      </c>
      <c r="D221" s="3" t="n">
        <v>8</v>
      </c>
      <c r="E221" s="3" t="s">
        <v>53</v>
      </c>
      <c r="F221" s="3" t="str">
        <f aca="false">IF(D221="","none",IF(D221&lt;=Settings!$B$3,"simple",IF(D221&lt;=Settings!$B$4,"coding","critical")))</f>
        <v>critical</v>
      </c>
      <c r="G221" s="3" t="n">
        <f aca="false">INDEX(Prompts!$D$2:$D$200,MATCH($B221,Prompts!$A$2:$A$200,0))</f>
        <v>7</v>
      </c>
      <c r="H221" s="3" t="n">
        <f aca="false">INDEX(Prompts!$E$2:$E$200,MATCH($B221,Prompts!$A$2:$A$200,0))</f>
        <v>9</v>
      </c>
      <c r="I221" s="3" t="n">
        <f aca="false">IF(D221="",0,IF(OR(F221=IF(G221&lt;=Settings!$B$3,"simple",IF(G221&lt;=Settings!$B$4,"coding","critical")),F221=IF(H221&lt;=Settings!$B$3,"simple",IF(H221&lt;=Settings!$B$4,"coding","critical"))),1,0))</f>
        <v>1</v>
      </c>
      <c r="J221" s="3" t="n">
        <f aca="false">IF(D221="",0,IF(AND(D221&gt;=G221,D221&lt;=H221),1,0))</f>
        <v>1</v>
      </c>
      <c r="K221" s="3" t="n">
        <f aca="false">IF(E221=INDEX(Prompts!$F$2:$F$200,MATCH($B221,Prompts!$A$2:$A$200,0)),1,0)</f>
        <v>1</v>
      </c>
      <c r="L221" s="3" t="n">
        <f aca="false">IF(AND(G221&gt;Settings!$B$4,OR(D221="",D221&lt;=Settings!$B$4)),1,0)</f>
        <v>0</v>
      </c>
      <c r="M221" s="3" t="n">
        <v>7.95</v>
      </c>
      <c r="N221" s="3" t="n">
        <v>304</v>
      </c>
      <c r="O221" s="3" t="n">
        <v>104</v>
      </c>
      <c r="P221" s="14" t="n">
        <v>8.2E-005</v>
      </c>
      <c r="Q221" s="3" t="s">
        <v>18</v>
      </c>
      <c r="R221" s="3"/>
    </row>
    <row r="222" customFormat="false" ht="15" hidden="false" customHeight="false" outlineLevel="0" collapsed="false">
      <c r="A222" s="3" t="s">
        <v>18</v>
      </c>
      <c r="B222" s="3" t="n">
        <v>29</v>
      </c>
      <c r="C222" s="3" t="s">
        <v>148</v>
      </c>
      <c r="D222" s="3" t="n">
        <v>9</v>
      </c>
      <c r="E222" s="3" t="s">
        <v>49</v>
      </c>
      <c r="F222" s="3" t="str">
        <f aca="false">IF(D222="","none",IF(D222&lt;=Settings!$B$3,"simple",IF(D222&lt;=Settings!$B$4,"coding","critical")))</f>
        <v>critical</v>
      </c>
      <c r="G222" s="3" t="n">
        <f aca="false">INDEX(Prompts!$D$2:$D$200,MATCH($B222,Prompts!$A$2:$A$200,0))</f>
        <v>8</v>
      </c>
      <c r="H222" s="3" t="n">
        <f aca="false">INDEX(Prompts!$E$2:$E$200,MATCH($B222,Prompts!$A$2:$A$200,0))</f>
        <v>10</v>
      </c>
      <c r="I222" s="3" t="n">
        <f aca="false">IF(D222="",0,IF(OR(F222=IF(G222&lt;=Settings!$B$3,"simple",IF(G222&lt;=Settings!$B$4,"coding","critical")),F222=IF(H222&lt;=Settings!$B$3,"simple",IF(H222&lt;=Settings!$B$4,"coding","critical"))),1,0))</f>
        <v>1</v>
      </c>
      <c r="J222" s="3" t="n">
        <f aca="false">IF(D222="",0,IF(AND(D222&gt;=G222,D222&lt;=H222),1,0))</f>
        <v>1</v>
      </c>
      <c r="K222" s="3" t="n">
        <f aca="false">IF(E222=INDEX(Prompts!$F$2:$F$200,MATCH($B222,Prompts!$A$2:$A$200,0)),1,0)</f>
        <v>1</v>
      </c>
      <c r="L222" s="3" t="n">
        <f aca="false">IF(AND(G222&gt;Settings!$B$4,OR(D222="",D222&lt;=Settings!$B$4)),1,0)</f>
        <v>0</v>
      </c>
      <c r="M222" s="3" t="n">
        <v>7.91</v>
      </c>
      <c r="N222" s="3" t="n">
        <v>303</v>
      </c>
      <c r="O222" s="3" t="n">
        <v>70</v>
      </c>
      <c r="P222" s="14" t="n">
        <v>7.5E-005</v>
      </c>
      <c r="Q222" s="3" t="s">
        <v>18</v>
      </c>
      <c r="R222" s="3"/>
    </row>
    <row r="223" customFormat="false" ht="15" hidden="false" customHeight="false" outlineLevel="0" collapsed="false">
      <c r="A223" s="3" t="s">
        <v>18</v>
      </c>
      <c r="B223" s="3" t="n">
        <v>30</v>
      </c>
      <c r="C223" s="3" t="s">
        <v>149</v>
      </c>
      <c r="D223" s="3" t="n">
        <v>9</v>
      </c>
      <c r="E223" s="3" t="s">
        <v>69</v>
      </c>
      <c r="F223" s="3" t="str">
        <f aca="false">IF(D223="","none",IF(D223&lt;=Settings!$B$3,"simple",IF(D223&lt;=Settings!$B$4,"coding","critical")))</f>
        <v>critical</v>
      </c>
      <c r="G223" s="3" t="n">
        <f aca="false">INDEX(Prompts!$D$2:$D$200,MATCH($B223,Prompts!$A$2:$A$200,0))</f>
        <v>9</v>
      </c>
      <c r="H223" s="3" t="n">
        <f aca="false">INDEX(Prompts!$E$2:$E$200,MATCH($B223,Prompts!$A$2:$A$200,0))</f>
        <v>10</v>
      </c>
      <c r="I223" s="3" t="n">
        <f aca="false">IF(D223="",0,IF(OR(F223=IF(G223&lt;=Settings!$B$3,"simple",IF(G223&lt;=Settings!$B$4,"coding","critical")),F223=IF(H223&lt;=Settings!$B$3,"simple",IF(H223&lt;=Settings!$B$4,"coding","critical"))),1,0))</f>
        <v>1</v>
      </c>
      <c r="J223" s="3" t="n">
        <f aca="false">IF(D223="",0,IF(AND(D223&gt;=G223,D223&lt;=H223),1,0))</f>
        <v>1</v>
      </c>
      <c r="K223" s="3" t="n">
        <f aca="false">IF(E223=INDEX(Prompts!$F$2:$F$200,MATCH($B223,Prompts!$A$2:$A$200,0)),1,0)</f>
        <v>0</v>
      </c>
      <c r="L223" s="3" t="n">
        <f aca="false">IF(AND(G223&gt;Settings!$B$4,OR(D223="",D223&lt;=Settings!$B$4)),1,0)</f>
        <v>0</v>
      </c>
      <c r="M223" s="3" t="n">
        <v>9.8</v>
      </c>
      <c r="N223" s="3" t="n">
        <v>297</v>
      </c>
      <c r="O223" s="3" t="n">
        <v>211</v>
      </c>
      <c r="P223" s="14" t="n">
        <v>0.000102</v>
      </c>
      <c r="Q223" s="3" t="s">
        <v>18</v>
      </c>
      <c r="R223" s="3"/>
    </row>
    <row r="224" customFormat="false" ht="15" hidden="false" customHeight="false" outlineLevel="0" collapsed="false">
      <c r="A224" s="3" t="s">
        <v>18</v>
      </c>
      <c r="B224" s="3" t="n">
        <v>31</v>
      </c>
      <c r="C224" s="3" t="s">
        <v>148</v>
      </c>
      <c r="D224" s="3" t="n">
        <v>9</v>
      </c>
      <c r="E224" s="3" t="s">
        <v>49</v>
      </c>
      <c r="F224" s="3" t="str">
        <f aca="false">IF(D224="","none",IF(D224&lt;=Settings!$B$3,"simple",IF(D224&lt;=Settings!$B$4,"coding","critical")))</f>
        <v>critical</v>
      </c>
      <c r="G224" s="3" t="n">
        <f aca="false">INDEX(Prompts!$D$2:$D$200,MATCH($B224,Prompts!$A$2:$A$200,0))</f>
        <v>9</v>
      </c>
      <c r="H224" s="3" t="n">
        <f aca="false">INDEX(Prompts!$E$2:$E$200,MATCH($B224,Prompts!$A$2:$A$200,0))</f>
        <v>10</v>
      </c>
      <c r="I224" s="3" t="n">
        <f aca="false">IF(D224="",0,IF(OR(F224=IF(G224&lt;=Settings!$B$3,"simple",IF(G224&lt;=Settings!$B$4,"coding","critical")),F224=IF(H224&lt;=Settings!$B$3,"simple",IF(H224&lt;=Settings!$B$4,"coding","critical"))),1,0))</f>
        <v>1</v>
      </c>
      <c r="J224" s="3" t="n">
        <f aca="false">IF(D224="",0,IF(AND(D224&gt;=G224,D224&lt;=H224),1,0))</f>
        <v>1</v>
      </c>
      <c r="K224" s="3" t="n">
        <f aca="false">IF(E224=INDEX(Prompts!$F$2:$F$200,MATCH($B224,Prompts!$A$2:$A$200,0)),1,0)</f>
        <v>0</v>
      </c>
      <c r="L224" s="3" t="n">
        <f aca="false">IF(AND(G224&gt;Settings!$B$4,OR(D224="",D224&lt;=Settings!$B$4)),1,0)</f>
        <v>0</v>
      </c>
      <c r="M224" s="3" t="n">
        <v>7.71</v>
      </c>
      <c r="N224" s="3" t="n">
        <v>299</v>
      </c>
      <c r="O224" s="3" t="n">
        <v>49</v>
      </c>
      <c r="P224" s="14" t="n">
        <v>7E-005</v>
      </c>
      <c r="Q224" s="3" t="s">
        <v>18</v>
      </c>
      <c r="R224" s="3"/>
    </row>
    <row r="225" customFormat="false" ht="15" hidden="false" customHeight="false" outlineLevel="0" collapsed="false">
      <c r="A225" s="3" t="s">
        <v>18</v>
      </c>
      <c r="B225" s="3" t="n">
        <v>32</v>
      </c>
      <c r="C225" s="3" t="s">
        <v>159</v>
      </c>
      <c r="D225" s="3" t="n">
        <v>10</v>
      </c>
      <c r="E225" s="3" t="s">
        <v>49</v>
      </c>
      <c r="F225" s="3" t="str">
        <f aca="false">IF(D225="","none",IF(D225&lt;=Settings!$B$3,"simple",IF(D225&lt;=Settings!$B$4,"coding","critical")))</f>
        <v>critical</v>
      </c>
      <c r="G225" s="3" t="n">
        <f aca="false">INDEX(Prompts!$D$2:$D$200,MATCH($B225,Prompts!$A$2:$A$200,0))</f>
        <v>9</v>
      </c>
      <c r="H225" s="3" t="n">
        <f aca="false">INDEX(Prompts!$E$2:$E$200,MATCH($B225,Prompts!$A$2:$A$200,0))</f>
        <v>10</v>
      </c>
      <c r="I225" s="3" t="n">
        <f aca="false">IF(D225="",0,IF(OR(F225=IF(G225&lt;=Settings!$B$3,"simple",IF(G225&lt;=Settings!$B$4,"coding","critical")),F225=IF(H225&lt;=Settings!$B$3,"simple",IF(H225&lt;=Settings!$B$4,"coding","critical"))),1,0))</f>
        <v>1</v>
      </c>
      <c r="J225" s="3" t="n">
        <f aca="false">IF(D225="",0,IF(AND(D225&gt;=G225,D225&lt;=H225),1,0))</f>
        <v>1</v>
      </c>
      <c r="K225" s="3" t="n">
        <f aca="false">IF(E225=INDEX(Prompts!$F$2:$F$200,MATCH($B225,Prompts!$A$2:$A$200,0)),1,0)</f>
        <v>1</v>
      </c>
      <c r="L225" s="3" t="n">
        <f aca="false">IF(AND(G225&gt;Settings!$B$4,OR(D225="",D225&lt;=Settings!$B$4)),1,0)</f>
        <v>0</v>
      </c>
      <c r="M225" s="3" t="n">
        <v>6.58</v>
      </c>
      <c r="N225" s="3" t="n">
        <v>316</v>
      </c>
      <c r="O225" s="3" t="n">
        <v>52</v>
      </c>
      <c r="P225" s="14" t="n">
        <v>7.4E-005</v>
      </c>
      <c r="Q225" s="3" t="s">
        <v>18</v>
      </c>
      <c r="R225" s="3"/>
    </row>
    <row r="226" customFormat="false" ht="15" hidden="false" customHeight="false" outlineLevel="0" collapsed="false">
      <c r="A226" s="3" t="s">
        <v>19</v>
      </c>
      <c r="B226" s="3" t="n">
        <v>1</v>
      </c>
      <c r="C226" s="3" t="s">
        <v>132</v>
      </c>
      <c r="D226" s="3" t="n">
        <v>3</v>
      </c>
      <c r="E226" s="3" t="s">
        <v>49</v>
      </c>
      <c r="F226" s="3" t="str">
        <f aca="false">IF(D226="","none",IF(D226&lt;=Settings!$B$3,"simple",IF(D226&lt;=Settings!$B$4,"coding","critical")))</f>
        <v>simple</v>
      </c>
      <c r="G226" s="3" t="n">
        <f aca="false">INDEX(Prompts!$D$2:$D$200,MATCH($B226,Prompts!$A$2:$A$200,0))</f>
        <v>1</v>
      </c>
      <c r="H226" s="3" t="n">
        <f aca="false">INDEX(Prompts!$E$2:$E$200,MATCH($B226,Prompts!$A$2:$A$200,0))</f>
        <v>2</v>
      </c>
      <c r="I226" s="3" t="n">
        <f aca="false">IF(D226="",0,IF(OR(F226=IF(G226&lt;=Settings!$B$3,"simple",IF(G226&lt;=Settings!$B$4,"coding","critical")),F226=IF(H226&lt;=Settings!$B$3,"simple",IF(H226&lt;=Settings!$B$4,"coding","critical"))),1,0))</f>
        <v>1</v>
      </c>
      <c r="J226" s="3" t="n">
        <f aca="false">IF(D226="",0,IF(AND(D226&gt;=G226,D226&lt;=H226),1,0))</f>
        <v>0</v>
      </c>
      <c r="K226" s="3" t="n">
        <f aca="false">IF(E226=INDEX(Prompts!$F$2:$F$200,MATCH($B226,Prompts!$A$2:$A$200,0)),1,0)</f>
        <v>1</v>
      </c>
      <c r="L226" s="3" t="n">
        <f aca="false">IF(AND(G226&gt;Settings!$B$4,OR(D226="",D226&lt;=Settings!$B$4)),1,0)</f>
        <v>0</v>
      </c>
      <c r="M226" s="3" t="n">
        <v>6.83</v>
      </c>
      <c r="N226" s="3" t="n">
        <v>291</v>
      </c>
      <c r="O226" s="3" t="n">
        <v>6</v>
      </c>
      <c r="P226" s="14" t="n">
        <v>0.001188</v>
      </c>
      <c r="Q226" s="3" t="s">
        <v>19</v>
      </c>
      <c r="R226" s="3"/>
    </row>
    <row r="227" customFormat="false" ht="15" hidden="false" customHeight="false" outlineLevel="0" collapsed="false">
      <c r="A227" s="3" t="s">
        <v>19</v>
      </c>
      <c r="B227" s="3" t="n">
        <v>2</v>
      </c>
      <c r="C227" s="3" t="s">
        <v>160</v>
      </c>
      <c r="D227" s="3" t="n">
        <v>2</v>
      </c>
      <c r="E227" s="3" t="s">
        <v>49</v>
      </c>
      <c r="F227" s="3" t="str">
        <f aca="false">IF(D227="","none",IF(D227&lt;=Settings!$B$3,"simple",IF(D227&lt;=Settings!$B$4,"coding","critical")))</f>
        <v>simple</v>
      </c>
      <c r="G227" s="3" t="n">
        <f aca="false">INDEX(Prompts!$D$2:$D$200,MATCH($B227,Prompts!$A$2:$A$200,0))</f>
        <v>1</v>
      </c>
      <c r="H227" s="3" t="n">
        <f aca="false">INDEX(Prompts!$E$2:$E$200,MATCH($B227,Prompts!$A$2:$A$200,0))</f>
        <v>2</v>
      </c>
      <c r="I227" s="3" t="n">
        <f aca="false">IF(D227="",0,IF(OR(F227=IF(G227&lt;=Settings!$B$3,"simple",IF(G227&lt;=Settings!$B$4,"coding","critical")),F227=IF(H227&lt;=Settings!$B$3,"simple",IF(H227&lt;=Settings!$B$4,"coding","critical"))),1,0))</f>
        <v>1</v>
      </c>
      <c r="J227" s="3" t="n">
        <f aca="false">IF(D227="",0,IF(AND(D227&gt;=G227,D227&lt;=H227),1,0))</f>
        <v>1</v>
      </c>
      <c r="K227" s="3" t="n">
        <f aca="false">IF(E227=INDEX(Prompts!$F$2:$F$200,MATCH($B227,Prompts!$A$2:$A$200,0)),1,0)</f>
        <v>1</v>
      </c>
      <c r="L227" s="3" t="n">
        <f aca="false">IF(AND(G227&gt;Settings!$B$4,OR(D227="",D227&lt;=Settings!$B$4)),1,0)</f>
        <v>0</v>
      </c>
      <c r="M227" s="3" t="n">
        <v>5.77</v>
      </c>
      <c r="N227" s="3" t="n">
        <v>297</v>
      </c>
      <c r="O227" s="3" t="n">
        <v>6</v>
      </c>
      <c r="P227" s="14" t="n">
        <v>0.001212</v>
      </c>
      <c r="Q227" s="3" t="s">
        <v>19</v>
      </c>
      <c r="R227" s="3"/>
    </row>
    <row r="228" customFormat="false" ht="15" hidden="false" customHeight="false" outlineLevel="0" collapsed="false">
      <c r="A228" s="3" t="s">
        <v>19</v>
      </c>
      <c r="B228" s="3" t="n">
        <v>3</v>
      </c>
      <c r="C228" s="3" t="s">
        <v>130</v>
      </c>
      <c r="D228" s="3" t="n">
        <v>2</v>
      </c>
      <c r="E228" s="3" t="s">
        <v>53</v>
      </c>
      <c r="F228" s="3" t="str">
        <f aca="false">IF(D228="","none",IF(D228&lt;=Settings!$B$3,"simple",IF(D228&lt;=Settings!$B$4,"coding","critical")))</f>
        <v>simple</v>
      </c>
      <c r="G228" s="3" t="n">
        <f aca="false">INDEX(Prompts!$D$2:$D$200,MATCH($B228,Prompts!$A$2:$A$200,0))</f>
        <v>1</v>
      </c>
      <c r="H228" s="3" t="n">
        <f aca="false">INDEX(Prompts!$E$2:$E$200,MATCH($B228,Prompts!$A$2:$A$200,0))</f>
        <v>2</v>
      </c>
      <c r="I228" s="3" t="n">
        <f aca="false">IF(D228="",0,IF(OR(F228=IF(G228&lt;=Settings!$B$3,"simple",IF(G228&lt;=Settings!$B$4,"coding","critical")),F228=IF(H228&lt;=Settings!$B$3,"simple",IF(H228&lt;=Settings!$B$4,"coding","critical"))),1,0))</f>
        <v>1</v>
      </c>
      <c r="J228" s="3" t="n">
        <f aca="false">IF(D228="",0,IF(AND(D228&gt;=G228,D228&lt;=H228),1,0))</f>
        <v>1</v>
      </c>
      <c r="K228" s="3" t="n">
        <f aca="false">IF(E228=INDEX(Prompts!$F$2:$F$200,MATCH($B228,Prompts!$A$2:$A$200,0)),1,0)</f>
        <v>1</v>
      </c>
      <c r="L228" s="3" t="n">
        <f aca="false">IF(AND(G228&gt;Settings!$B$4,OR(D228="",D228&lt;=Settings!$B$4)),1,0)</f>
        <v>0</v>
      </c>
      <c r="M228" s="3" t="n">
        <v>7.03</v>
      </c>
      <c r="N228" s="3" t="n">
        <v>295</v>
      </c>
      <c r="O228" s="3" t="n">
        <v>6</v>
      </c>
      <c r="P228" s="14" t="n">
        <v>0.001204</v>
      </c>
      <c r="Q228" s="3" t="s">
        <v>19</v>
      </c>
      <c r="R228" s="3"/>
    </row>
    <row r="229" customFormat="false" ht="15" hidden="false" customHeight="false" outlineLevel="0" collapsed="false">
      <c r="A229" s="3" t="s">
        <v>19</v>
      </c>
      <c r="B229" s="3" t="n">
        <v>4</v>
      </c>
      <c r="C229" s="3" t="s">
        <v>131</v>
      </c>
      <c r="D229" s="3" t="n">
        <v>1</v>
      </c>
      <c r="E229" s="3" t="s">
        <v>49</v>
      </c>
      <c r="F229" s="3" t="str">
        <f aca="false">IF(D229="","none",IF(D229&lt;=Settings!$B$3,"simple",IF(D229&lt;=Settings!$B$4,"coding","critical")))</f>
        <v>simple</v>
      </c>
      <c r="G229" s="3" t="n">
        <f aca="false">INDEX(Prompts!$D$2:$D$200,MATCH($B229,Prompts!$A$2:$A$200,0))</f>
        <v>1</v>
      </c>
      <c r="H229" s="3" t="n">
        <f aca="false">INDEX(Prompts!$E$2:$E$200,MATCH($B229,Prompts!$A$2:$A$200,0))</f>
        <v>2</v>
      </c>
      <c r="I229" s="3" t="n">
        <f aca="false">IF(D229="",0,IF(OR(F229=IF(G229&lt;=Settings!$B$3,"simple",IF(G229&lt;=Settings!$B$4,"coding","critical")),F229=IF(H229&lt;=Settings!$B$3,"simple",IF(H229&lt;=Settings!$B$4,"coding","critical"))),1,0))</f>
        <v>1</v>
      </c>
      <c r="J229" s="3" t="n">
        <f aca="false">IF(D229="",0,IF(AND(D229&gt;=G229,D229&lt;=H229),1,0))</f>
        <v>1</v>
      </c>
      <c r="K229" s="3" t="n">
        <f aca="false">IF(E229=INDEX(Prompts!$F$2:$F$200,MATCH($B229,Prompts!$A$2:$A$200,0)),1,0)</f>
        <v>0</v>
      </c>
      <c r="L229" s="3" t="n">
        <f aca="false">IF(AND(G229&gt;Settings!$B$4,OR(D229="",D229&lt;=Settings!$B$4)),1,0)</f>
        <v>0</v>
      </c>
      <c r="M229" s="3" t="n">
        <v>6.31</v>
      </c>
      <c r="N229" s="3" t="n">
        <v>290</v>
      </c>
      <c r="O229" s="3" t="n">
        <v>6</v>
      </c>
      <c r="P229" s="14" t="n">
        <v>0.001184</v>
      </c>
      <c r="Q229" s="3" t="s">
        <v>19</v>
      </c>
      <c r="R229" s="3"/>
    </row>
    <row r="230" customFormat="false" ht="15" hidden="false" customHeight="false" outlineLevel="0" collapsed="false">
      <c r="A230" s="3" t="s">
        <v>19</v>
      </c>
      <c r="B230" s="3" t="n">
        <v>5</v>
      </c>
      <c r="C230" s="3" t="s">
        <v>152</v>
      </c>
      <c r="D230" s="3" t="n">
        <v>1</v>
      </c>
      <c r="E230" s="3" t="s">
        <v>58</v>
      </c>
      <c r="F230" s="3" t="str">
        <f aca="false">IF(D230="","none",IF(D230&lt;=Settings!$B$3,"simple",IF(D230&lt;=Settings!$B$4,"coding","critical")))</f>
        <v>simple</v>
      </c>
      <c r="G230" s="3" t="n">
        <f aca="false">INDEX(Prompts!$D$2:$D$200,MATCH($B230,Prompts!$A$2:$A$200,0))</f>
        <v>1</v>
      </c>
      <c r="H230" s="3" t="n">
        <f aca="false">INDEX(Prompts!$E$2:$E$200,MATCH($B230,Prompts!$A$2:$A$200,0))</f>
        <v>2</v>
      </c>
      <c r="I230" s="3" t="n">
        <f aca="false">IF(D230="",0,IF(OR(F230=IF(G230&lt;=Settings!$B$3,"simple",IF(G230&lt;=Settings!$B$4,"coding","critical")),F230=IF(H230&lt;=Settings!$B$3,"simple",IF(H230&lt;=Settings!$B$4,"coding","critical"))),1,0))</f>
        <v>1</v>
      </c>
      <c r="J230" s="3" t="n">
        <f aca="false">IF(D230="",0,IF(AND(D230&gt;=G230,D230&lt;=H230),1,0))</f>
        <v>1</v>
      </c>
      <c r="K230" s="3" t="n">
        <f aca="false">IF(E230=INDEX(Prompts!$F$2:$F$200,MATCH($B230,Prompts!$A$2:$A$200,0)),1,0)</f>
        <v>1</v>
      </c>
      <c r="L230" s="3" t="n">
        <f aca="false">IF(AND(G230&gt;Settings!$B$4,OR(D230="",D230&lt;=Settings!$B$4)),1,0)</f>
        <v>0</v>
      </c>
      <c r="M230" s="3" t="n">
        <v>5.53</v>
      </c>
      <c r="N230" s="3" t="n">
        <v>298</v>
      </c>
      <c r="O230" s="3" t="n">
        <v>64</v>
      </c>
      <c r="P230" s="14" t="n">
        <v>0.001448</v>
      </c>
      <c r="Q230" s="3" t="s">
        <v>19</v>
      </c>
      <c r="R230" s="3"/>
    </row>
    <row r="231" customFormat="false" ht="15" hidden="false" customHeight="false" outlineLevel="0" collapsed="false">
      <c r="A231" s="3" t="s">
        <v>19</v>
      </c>
      <c r="B231" s="3" t="n">
        <v>6</v>
      </c>
      <c r="C231" s="3" t="s">
        <v>131</v>
      </c>
      <c r="D231" s="3" t="n">
        <v>1</v>
      </c>
      <c r="E231" s="3" t="s">
        <v>49</v>
      </c>
      <c r="F231" s="3" t="str">
        <f aca="false">IF(D231="","none",IF(D231&lt;=Settings!$B$3,"simple",IF(D231&lt;=Settings!$B$4,"coding","critical")))</f>
        <v>simple</v>
      </c>
      <c r="G231" s="3" t="n">
        <f aca="false">INDEX(Prompts!$D$2:$D$200,MATCH($B231,Prompts!$A$2:$A$200,0))</f>
        <v>1</v>
      </c>
      <c r="H231" s="3" t="n">
        <f aca="false">INDEX(Prompts!$E$2:$E$200,MATCH($B231,Prompts!$A$2:$A$200,0))</f>
        <v>2</v>
      </c>
      <c r="I231" s="3" t="n">
        <f aca="false">IF(D231="",0,IF(OR(F231=IF(G231&lt;=Settings!$B$3,"simple",IF(G231&lt;=Settings!$B$4,"coding","critical")),F231=IF(H231&lt;=Settings!$B$3,"simple",IF(H231&lt;=Settings!$B$4,"coding","critical"))),1,0))</f>
        <v>1</v>
      </c>
      <c r="J231" s="3" t="n">
        <f aca="false">IF(D231="",0,IF(AND(D231&gt;=G231,D231&lt;=H231),1,0))</f>
        <v>1</v>
      </c>
      <c r="K231" s="3" t="n">
        <f aca="false">IF(E231=INDEX(Prompts!$F$2:$F$200,MATCH($B231,Prompts!$A$2:$A$200,0)),1,0)</f>
        <v>1</v>
      </c>
      <c r="L231" s="3" t="n">
        <f aca="false">IF(AND(G231&gt;Settings!$B$4,OR(D231="",D231&lt;=Settings!$B$4)),1,0)</f>
        <v>0</v>
      </c>
      <c r="M231" s="3" t="n">
        <v>3.4</v>
      </c>
      <c r="N231" s="3" t="n">
        <v>290</v>
      </c>
      <c r="O231" s="3" t="n">
        <v>6</v>
      </c>
      <c r="P231" s="14" t="n">
        <v>0.001184</v>
      </c>
      <c r="Q231" s="3" t="s">
        <v>19</v>
      </c>
      <c r="R231" s="3"/>
    </row>
    <row r="232" customFormat="false" ht="15" hidden="false" customHeight="false" outlineLevel="0" collapsed="false">
      <c r="A232" s="3" t="s">
        <v>19</v>
      </c>
      <c r="B232" s="3" t="n">
        <v>7</v>
      </c>
      <c r="C232" s="3" t="s">
        <v>160</v>
      </c>
      <c r="D232" s="3" t="n">
        <v>2</v>
      </c>
      <c r="E232" s="3" t="s">
        <v>49</v>
      </c>
      <c r="F232" s="3" t="str">
        <f aca="false">IF(D232="","none",IF(D232&lt;=Settings!$B$3,"simple",IF(D232&lt;=Settings!$B$4,"coding","critical")))</f>
        <v>simple</v>
      </c>
      <c r="G232" s="3" t="n">
        <f aca="false">INDEX(Prompts!$D$2:$D$200,MATCH($B232,Prompts!$A$2:$A$200,0))</f>
        <v>1</v>
      </c>
      <c r="H232" s="3" t="n">
        <f aca="false">INDEX(Prompts!$E$2:$E$200,MATCH($B232,Prompts!$A$2:$A$200,0))</f>
        <v>3</v>
      </c>
      <c r="I232" s="3" t="n">
        <f aca="false">IF(D232="",0,IF(OR(F232=IF(G232&lt;=Settings!$B$3,"simple",IF(G232&lt;=Settings!$B$4,"coding","critical")),F232=IF(H232&lt;=Settings!$B$3,"simple",IF(H232&lt;=Settings!$B$4,"coding","critical"))),1,0))</f>
        <v>1</v>
      </c>
      <c r="J232" s="3" t="n">
        <f aca="false">IF(D232="",0,IF(AND(D232&gt;=G232,D232&lt;=H232),1,0))</f>
        <v>1</v>
      </c>
      <c r="K232" s="3" t="n">
        <f aca="false">IF(E232=INDEX(Prompts!$F$2:$F$200,MATCH($B232,Prompts!$A$2:$A$200,0)),1,0)</f>
        <v>1</v>
      </c>
      <c r="L232" s="3" t="n">
        <f aca="false">IF(AND(G232&gt;Settings!$B$4,OR(D232="",D232&lt;=Settings!$B$4)),1,0)</f>
        <v>0</v>
      </c>
      <c r="M232" s="3" t="n">
        <v>2.96</v>
      </c>
      <c r="N232" s="3" t="n">
        <v>291</v>
      </c>
      <c r="O232" s="3" t="n">
        <v>6</v>
      </c>
      <c r="P232" s="14" t="n">
        <v>0.001188</v>
      </c>
      <c r="Q232" s="3" t="s">
        <v>19</v>
      </c>
      <c r="R232" s="3"/>
    </row>
    <row r="233" customFormat="false" ht="15" hidden="false" customHeight="false" outlineLevel="0" collapsed="false">
      <c r="A233" s="3" t="s">
        <v>19</v>
      </c>
      <c r="B233" s="3" t="n">
        <v>8</v>
      </c>
      <c r="C233" s="3" t="s">
        <v>132</v>
      </c>
      <c r="D233" s="3" t="n">
        <v>3</v>
      </c>
      <c r="E233" s="3" t="s">
        <v>49</v>
      </c>
      <c r="F233" s="3" t="str">
        <f aca="false">IF(D233="","none",IF(D233&lt;=Settings!$B$3,"simple",IF(D233&lt;=Settings!$B$4,"coding","critical")))</f>
        <v>simple</v>
      </c>
      <c r="G233" s="3" t="n">
        <f aca="false">INDEX(Prompts!$D$2:$D$200,MATCH($B233,Prompts!$A$2:$A$200,0))</f>
        <v>2</v>
      </c>
      <c r="H233" s="3" t="n">
        <f aca="false">INDEX(Prompts!$E$2:$E$200,MATCH($B233,Prompts!$A$2:$A$200,0))</f>
        <v>3</v>
      </c>
      <c r="I233" s="3" t="n">
        <f aca="false">IF(D233="",0,IF(OR(F233=IF(G233&lt;=Settings!$B$3,"simple",IF(G233&lt;=Settings!$B$4,"coding","critical")),F233=IF(H233&lt;=Settings!$B$3,"simple",IF(H233&lt;=Settings!$B$4,"coding","critical"))),1,0))</f>
        <v>1</v>
      </c>
      <c r="J233" s="3" t="n">
        <f aca="false">IF(D233="",0,IF(AND(D233&gt;=G233,D233&lt;=H233),1,0))</f>
        <v>1</v>
      </c>
      <c r="K233" s="3" t="n">
        <f aca="false">IF(E233=INDEX(Prompts!$F$2:$F$200,MATCH($B233,Prompts!$A$2:$A$200,0)),1,0)</f>
        <v>1</v>
      </c>
      <c r="L233" s="3" t="n">
        <f aca="false">IF(AND(G233&gt;Settings!$B$4,OR(D233="",D233&lt;=Settings!$B$4)),1,0)</f>
        <v>0</v>
      </c>
      <c r="M233" s="3" t="n">
        <v>6.2</v>
      </c>
      <c r="N233" s="3" t="n">
        <v>294</v>
      </c>
      <c r="O233" s="3" t="n">
        <v>6</v>
      </c>
      <c r="P233" s="14" t="n">
        <v>0.0012</v>
      </c>
      <c r="Q233" s="3" t="s">
        <v>19</v>
      </c>
      <c r="R233" s="3"/>
    </row>
    <row r="234" customFormat="false" ht="15" hidden="false" customHeight="false" outlineLevel="0" collapsed="false">
      <c r="A234" s="3" t="s">
        <v>19</v>
      </c>
      <c r="B234" s="3" t="n">
        <v>9</v>
      </c>
      <c r="C234" s="3" t="s">
        <v>132</v>
      </c>
      <c r="D234" s="3" t="n">
        <v>3</v>
      </c>
      <c r="E234" s="3" t="s">
        <v>49</v>
      </c>
      <c r="F234" s="3" t="str">
        <f aca="false">IF(D234="","none",IF(D234&lt;=Settings!$B$3,"simple",IF(D234&lt;=Settings!$B$4,"coding","critical")))</f>
        <v>simple</v>
      </c>
      <c r="G234" s="3" t="n">
        <f aca="false">INDEX(Prompts!$D$2:$D$200,MATCH($B234,Prompts!$A$2:$A$200,0))</f>
        <v>2</v>
      </c>
      <c r="H234" s="3" t="n">
        <f aca="false">INDEX(Prompts!$E$2:$E$200,MATCH($B234,Prompts!$A$2:$A$200,0))</f>
        <v>3</v>
      </c>
      <c r="I234" s="3" t="n">
        <f aca="false">IF(D234="",0,IF(OR(F234=IF(G234&lt;=Settings!$B$3,"simple",IF(G234&lt;=Settings!$B$4,"coding","critical")),F234=IF(H234&lt;=Settings!$B$3,"simple",IF(H234&lt;=Settings!$B$4,"coding","critical"))),1,0))</f>
        <v>1</v>
      </c>
      <c r="J234" s="3" t="n">
        <f aca="false">IF(D234="",0,IF(AND(D234&gt;=G234,D234&lt;=H234),1,0))</f>
        <v>1</v>
      </c>
      <c r="K234" s="3" t="n">
        <f aca="false">IF(E234=INDEX(Prompts!$F$2:$F$200,MATCH($B234,Prompts!$A$2:$A$200,0)),1,0)</f>
        <v>1</v>
      </c>
      <c r="L234" s="3" t="n">
        <f aca="false">IF(AND(G234&gt;Settings!$B$4,OR(D234="",D234&lt;=Settings!$B$4)),1,0)</f>
        <v>0</v>
      </c>
      <c r="M234" s="3" t="n">
        <v>6.91</v>
      </c>
      <c r="N234" s="3" t="n">
        <v>291</v>
      </c>
      <c r="O234" s="3" t="n">
        <v>6</v>
      </c>
      <c r="P234" s="14" t="n">
        <v>0.001188</v>
      </c>
      <c r="Q234" s="3" t="s">
        <v>19</v>
      </c>
      <c r="R234" s="3"/>
    </row>
    <row r="235" customFormat="false" ht="15" hidden="false" customHeight="false" outlineLevel="0" collapsed="false">
      <c r="A235" s="3" t="s">
        <v>19</v>
      </c>
      <c r="B235" s="3" t="n">
        <v>10</v>
      </c>
      <c r="C235" s="3" t="s">
        <v>132</v>
      </c>
      <c r="D235" s="3" t="n">
        <v>3</v>
      </c>
      <c r="E235" s="3" t="s">
        <v>49</v>
      </c>
      <c r="F235" s="3" t="str">
        <f aca="false">IF(D235="","none",IF(D235&lt;=Settings!$B$3,"simple",IF(D235&lt;=Settings!$B$4,"coding","critical")))</f>
        <v>simple</v>
      </c>
      <c r="G235" s="3" t="n">
        <f aca="false">INDEX(Prompts!$D$2:$D$200,MATCH($B235,Prompts!$A$2:$A$200,0))</f>
        <v>2</v>
      </c>
      <c r="H235" s="3" t="n">
        <f aca="false">INDEX(Prompts!$E$2:$E$200,MATCH($B235,Prompts!$A$2:$A$200,0))</f>
        <v>3</v>
      </c>
      <c r="I235" s="3" t="n">
        <f aca="false">IF(D235="",0,IF(OR(F235=IF(G235&lt;=Settings!$B$3,"simple",IF(G235&lt;=Settings!$B$4,"coding","critical")),F235=IF(H235&lt;=Settings!$B$3,"simple",IF(H235&lt;=Settings!$B$4,"coding","critical"))),1,0))</f>
        <v>1</v>
      </c>
      <c r="J235" s="3" t="n">
        <f aca="false">IF(D235="",0,IF(AND(D235&gt;=G235,D235&lt;=H235),1,0))</f>
        <v>1</v>
      </c>
      <c r="K235" s="3" t="n">
        <f aca="false">IF(E235=INDEX(Prompts!$F$2:$F$200,MATCH($B235,Prompts!$A$2:$A$200,0)),1,0)</f>
        <v>1</v>
      </c>
      <c r="L235" s="3" t="n">
        <f aca="false">IF(AND(G235&gt;Settings!$B$4,OR(D235="",D235&lt;=Settings!$B$4)),1,0)</f>
        <v>0</v>
      </c>
      <c r="M235" s="3" t="n">
        <v>7.48</v>
      </c>
      <c r="N235" s="3" t="n">
        <v>290</v>
      </c>
      <c r="O235" s="3" t="n">
        <v>6</v>
      </c>
      <c r="P235" s="14" t="n">
        <v>0.001184</v>
      </c>
      <c r="Q235" s="3" t="s">
        <v>19</v>
      </c>
      <c r="R235" s="3"/>
    </row>
    <row r="236" customFormat="false" ht="15" hidden="false" customHeight="false" outlineLevel="0" collapsed="false">
      <c r="A236" s="3" t="s">
        <v>19</v>
      </c>
      <c r="B236" s="3" t="n">
        <v>11</v>
      </c>
      <c r="C236" s="3" t="s">
        <v>127</v>
      </c>
      <c r="D236" s="3" t="n">
        <v>1</v>
      </c>
      <c r="E236" s="3" t="s">
        <v>69</v>
      </c>
      <c r="F236" s="3" t="str">
        <f aca="false">IF(D236="","none",IF(D236&lt;=Settings!$B$3,"simple",IF(D236&lt;=Settings!$B$4,"coding","critical")))</f>
        <v>simple</v>
      </c>
      <c r="G236" s="3" t="n">
        <f aca="false">INDEX(Prompts!$D$2:$D$200,MATCH($B236,Prompts!$A$2:$A$200,0))</f>
        <v>1</v>
      </c>
      <c r="H236" s="3" t="n">
        <f aca="false">INDEX(Prompts!$E$2:$E$200,MATCH($B236,Prompts!$A$2:$A$200,0))</f>
        <v>3</v>
      </c>
      <c r="I236" s="3" t="n">
        <f aca="false">IF(D236="",0,IF(OR(F236=IF(G236&lt;=Settings!$B$3,"simple",IF(G236&lt;=Settings!$B$4,"coding","critical")),F236=IF(H236&lt;=Settings!$B$3,"simple",IF(H236&lt;=Settings!$B$4,"coding","critical"))),1,0))</f>
        <v>1</v>
      </c>
      <c r="J236" s="3" t="n">
        <f aca="false">IF(D236="",0,IF(AND(D236&gt;=G236,D236&lt;=H236),1,0))</f>
        <v>1</v>
      </c>
      <c r="K236" s="3" t="n">
        <f aca="false">IF(E236=INDEX(Prompts!$F$2:$F$200,MATCH($B236,Prompts!$A$2:$A$200,0)),1,0)</f>
        <v>1</v>
      </c>
      <c r="L236" s="3" t="n">
        <f aca="false">IF(AND(G236&gt;Settings!$B$4,OR(D236="",D236&lt;=Settings!$B$4)),1,0)</f>
        <v>0</v>
      </c>
      <c r="M236" s="3" t="n">
        <v>5.53</v>
      </c>
      <c r="N236" s="3" t="n">
        <v>289</v>
      </c>
      <c r="O236" s="3" t="n">
        <v>6</v>
      </c>
      <c r="P236" s="14" t="n">
        <v>0.00118</v>
      </c>
      <c r="Q236" s="3" t="s">
        <v>19</v>
      </c>
      <c r="R236" s="3"/>
    </row>
    <row r="237" customFormat="false" ht="15" hidden="false" customHeight="false" outlineLevel="0" collapsed="false">
      <c r="A237" s="3" t="s">
        <v>19</v>
      </c>
      <c r="B237" s="3" t="n">
        <v>12</v>
      </c>
      <c r="C237" s="3" t="s">
        <v>134</v>
      </c>
      <c r="D237" s="3" t="n">
        <v>3</v>
      </c>
      <c r="E237" s="3" t="s">
        <v>69</v>
      </c>
      <c r="F237" s="3" t="str">
        <f aca="false">IF(D237="","none",IF(D237&lt;=Settings!$B$3,"simple",IF(D237&lt;=Settings!$B$4,"coding","critical")))</f>
        <v>simple</v>
      </c>
      <c r="G237" s="3" t="n">
        <f aca="false">INDEX(Prompts!$D$2:$D$200,MATCH($B237,Prompts!$A$2:$A$200,0))</f>
        <v>2</v>
      </c>
      <c r="H237" s="3" t="n">
        <f aca="false">INDEX(Prompts!$E$2:$E$200,MATCH($B237,Prompts!$A$2:$A$200,0))</f>
        <v>4</v>
      </c>
      <c r="I237" s="3" t="n">
        <f aca="false">IF(D237="",0,IF(OR(F237=IF(G237&lt;=Settings!$B$3,"simple",IF(G237&lt;=Settings!$B$4,"coding","critical")),F237=IF(H237&lt;=Settings!$B$3,"simple",IF(H237&lt;=Settings!$B$4,"coding","critical"))),1,0))</f>
        <v>1</v>
      </c>
      <c r="J237" s="3" t="n">
        <f aca="false">IF(D237="",0,IF(AND(D237&gt;=G237,D237&lt;=H237),1,0))</f>
        <v>1</v>
      </c>
      <c r="K237" s="3" t="n">
        <f aca="false">IF(E237=INDEX(Prompts!$F$2:$F$200,MATCH($B237,Prompts!$A$2:$A$200,0)),1,0)</f>
        <v>1</v>
      </c>
      <c r="L237" s="3" t="n">
        <f aca="false">IF(AND(G237&gt;Settings!$B$4,OR(D237="",D237&lt;=Settings!$B$4)),1,0)</f>
        <v>0</v>
      </c>
      <c r="M237" s="3" t="n">
        <v>7.33</v>
      </c>
      <c r="N237" s="3" t="n">
        <v>291</v>
      </c>
      <c r="O237" s="3" t="n">
        <v>6</v>
      </c>
      <c r="P237" s="14" t="n">
        <v>0.001188</v>
      </c>
      <c r="Q237" s="3" t="s">
        <v>19</v>
      </c>
      <c r="R237" s="3"/>
    </row>
    <row r="238" customFormat="false" ht="15" hidden="false" customHeight="false" outlineLevel="0" collapsed="false">
      <c r="A238" s="3" t="s">
        <v>19</v>
      </c>
      <c r="B238" s="3" t="n">
        <v>13</v>
      </c>
      <c r="C238" s="3" t="s">
        <v>132</v>
      </c>
      <c r="D238" s="3" t="n">
        <v>3</v>
      </c>
      <c r="E238" s="3" t="s">
        <v>49</v>
      </c>
      <c r="F238" s="3" t="str">
        <f aca="false">IF(D238="","none",IF(D238&lt;=Settings!$B$3,"simple",IF(D238&lt;=Settings!$B$4,"coding","critical")))</f>
        <v>simple</v>
      </c>
      <c r="G238" s="3" t="n">
        <f aca="false">INDEX(Prompts!$D$2:$D$200,MATCH($B238,Prompts!$A$2:$A$200,0))</f>
        <v>3</v>
      </c>
      <c r="H238" s="3" t="n">
        <f aca="false">INDEX(Prompts!$E$2:$E$200,MATCH($B238,Prompts!$A$2:$A$200,0))</f>
        <v>4</v>
      </c>
      <c r="I238" s="3" t="n">
        <f aca="false">IF(D238="",0,IF(OR(F238=IF(G238&lt;=Settings!$B$3,"simple",IF(G238&lt;=Settings!$B$4,"coding","critical")),F238=IF(H238&lt;=Settings!$B$3,"simple",IF(H238&lt;=Settings!$B$4,"coding","critical"))),1,0))</f>
        <v>1</v>
      </c>
      <c r="J238" s="3" t="n">
        <f aca="false">IF(D238="",0,IF(AND(D238&gt;=G238,D238&lt;=H238),1,0))</f>
        <v>1</v>
      </c>
      <c r="K238" s="3" t="n">
        <f aca="false">IF(E238=INDEX(Prompts!$F$2:$F$200,MATCH($B238,Prompts!$A$2:$A$200,0)),1,0)</f>
        <v>1</v>
      </c>
      <c r="L238" s="3" t="n">
        <f aca="false">IF(AND(G238&gt;Settings!$B$4,OR(D238="",D238&lt;=Settings!$B$4)),1,0)</f>
        <v>0</v>
      </c>
      <c r="M238" s="3" t="n">
        <v>4.72</v>
      </c>
      <c r="N238" s="3" t="n">
        <v>294</v>
      </c>
      <c r="O238" s="3" t="n">
        <v>6</v>
      </c>
      <c r="P238" s="14" t="n">
        <v>0.0012</v>
      </c>
      <c r="Q238" s="3" t="s">
        <v>19</v>
      </c>
      <c r="R238" s="3"/>
    </row>
    <row r="239" customFormat="false" ht="15" hidden="false" customHeight="false" outlineLevel="0" collapsed="false">
      <c r="A239" s="3" t="s">
        <v>19</v>
      </c>
      <c r="B239" s="3" t="n">
        <v>14</v>
      </c>
      <c r="C239" s="3" t="s">
        <v>130</v>
      </c>
      <c r="D239" s="3" t="n">
        <v>2</v>
      </c>
      <c r="E239" s="3" t="s">
        <v>53</v>
      </c>
      <c r="F239" s="3" t="str">
        <f aca="false">IF(D239="","none",IF(D239&lt;=Settings!$B$3,"simple",IF(D239&lt;=Settings!$B$4,"coding","critical")))</f>
        <v>simple</v>
      </c>
      <c r="G239" s="3" t="n">
        <f aca="false">INDEX(Prompts!$D$2:$D$200,MATCH($B239,Prompts!$A$2:$A$200,0))</f>
        <v>2</v>
      </c>
      <c r="H239" s="3" t="n">
        <f aca="false">INDEX(Prompts!$E$2:$E$200,MATCH($B239,Prompts!$A$2:$A$200,0))</f>
        <v>4</v>
      </c>
      <c r="I239" s="3" t="n">
        <f aca="false">IF(D239="",0,IF(OR(F239=IF(G239&lt;=Settings!$B$3,"simple",IF(G239&lt;=Settings!$B$4,"coding","critical")),F239=IF(H239&lt;=Settings!$B$3,"simple",IF(H239&lt;=Settings!$B$4,"coding","critical"))),1,0))</f>
        <v>1</v>
      </c>
      <c r="J239" s="3" t="n">
        <f aca="false">IF(D239="",0,IF(AND(D239&gt;=G239,D239&lt;=H239),1,0))</f>
        <v>1</v>
      </c>
      <c r="K239" s="3" t="n">
        <f aca="false">IF(E239=INDEX(Prompts!$F$2:$F$200,MATCH($B239,Prompts!$A$2:$A$200,0)),1,0)</f>
        <v>1</v>
      </c>
      <c r="L239" s="3" t="n">
        <f aca="false">IF(AND(G239&gt;Settings!$B$4,OR(D239="",D239&lt;=Settings!$B$4)),1,0)</f>
        <v>0</v>
      </c>
      <c r="M239" s="3" t="n">
        <v>7.15</v>
      </c>
      <c r="N239" s="3" t="n">
        <v>293</v>
      </c>
      <c r="O239" s="3" t="n">
        <v>91</v>
      </c>
      <c r="P239" s="14" t="n">
        <v>0.001536</v>
      </c>
      <c r="Q239" s="3" t="s">
        <v>19</v>
      </c>
      <c r="R239" s="3"/>
    </row>
    <row r="240" customFormat="false" ht="15" hidden="false" customHeight="false" outlineLevel="0" collapsed="false">
      <c r="A240" s="3" t="s">
        <v>19</v>
      </c>
      <c r="B240" s="3" t="n">
        <v>15</v>
      </c>
      <c r="C240" s="3" t="s">
        <v>154</v>
      </c>
      <c r="D240" s="3" t="n">
        <v>4</v>
      </c>
      <c r="E240" s="3" t="s">
        <v>49</v>
      </c>
      <c r="F240" s="3" t="str">
        <f aca="false">IF(D240="","none",IF(D240&lt;=Settings!$B$3,"simple",IF(D240&lt;=Settings!$B$4,"coding","critical")))</f>
        <v>coding</v>
      </c>
      <c r="G240" s="3" t="n">
        <f aca="false">INDEX(Prompts!$D$2:$D$200,MATCH($B240,Prompts!$A$2:$A$200,0))</f>
        <v>3</v>
      </c>
      <c r="H240" s="3" t="n">
        <f aca="false">INDEX(Prompts!$E$2:$E$200,MATCH($B240,Prompts!$A$2:$A$200,0))</f>
        <v>5</v>
      </c>
      <c r="I240" s="3" t="n">
        <f aca="false">IF(D240="",0,IF(OR(F240=IF(G240&lt;=Settings!$B$3,"simple",IF(G240&lt;=Settings!$B$4,"coding","critical")),F240=IF(H240&lt;=Settings!$B$3,"simple",IF(H240&lt;=Settings!$B$4,"coding","critical"))),1,0))</f>
        <v>1</v>
      </c>
      <c r="J240" s="3" t="n">
        <f aca="false">IF(D240="",0,IF(AND(D240&gt;=G240,D240&lt;=H240),1,0))</f>
        <v>1</v>
      </c>
      <c r="K240" s="3" t="n">
        <f aca="false">IF(E240=INDEX(Prompts!$F$2:$F$200,MATCH($B240,Prompts!$A$2:$A$200,0)),1,0)</f>
        <v>1</v>
      </c>
      <c r="L240" s="3" t="n">
        <f aca="false">IF(AND(G240&gt;Settings!$B$4,OR(D240="",D240&lt;=Settings!$B$4)),1,0)</f>
        <v>0</v>
      </c>
      <c r="M240" s="3" t="n">
        <v>5.97</v>
      </c>
      <c r="N240" s="3" t="n">
        <v>299</v>
      </c>
      <c r="O240" s="3" t="n">
        <v>6</v>
      </c>
      <c r="P240" s="14" t="n">
        <v>0.00122</v>
      </c>
      <c r="Q240" s="3" t="s">
        <v>19</v>
      </c>
      <c r="R240" s="3"/>
    </row>
    <row r="241" customFormat="false" ht="15" hidden="false" customHeight="false" outlineLevel="0" collapsed="false">
      <c r="A241" s="3" t="s">
        <v>19</v>
      </c>
      <c r="B241" s="3" t="n">
        <v>16</v>
      </c>
      <c r="C241" s="3" t="s">
        <v>154</v>
      </c>
      <c r="D241" s="3" t="n">
        <v>4</v>
      </c>
      <c r="E241" s="3" t="s">
        <v>49</v>
      </c>
      <c r="F241" s="3" t="str">
        <f aca="false">IF(D241="","none",IF(D241&lt;=Settings!$B$3,"simple",IF(D241&lt;=Settings!$B$4,"coding","critical")))</f>
        <v>coding</v>
      </c>
      <c r="G241" s="3" t="n">
        <f aca="false">INDEX(Prompts!$D$2:$D$200,MATCH($B241,Prompts!$A$2:$A$200,0))</f>
        <v>3</v>
      </c>
      <c r="H241" s="3" t="n">
        <f aca="false">INDEX(Prompts!$E$2:$E$200,MATCH($B241,Prompts!$A$2:$A$200,0))</f>
        <v>5</v>
      </c>
      <c r="I241" s="3" t="n">
        <f aca="false">IF(D241="",0,IF(OR(F241=IF(G241&lt;=Settings!$B$3,"simple",IF(G241&lt;=Settings!$B$4,"coding","critical")),F241=IF(H241&lt;=Settings!$B$3,"simple",IF(H241&lt;=Settings!$B$4,"coding","critical"))),1,0))</f>
        <v>1</v>
      </c>
      <c r="J241" s="3" t="n">
        <f aca="false">IF(D241="",0,IF(AND(D241&gt;=G241,D241&lt;=H241),1,0))</f>
        <v>1</v>
      </c>
      <c r="K241" s="3" t="n">
        <f aca="false">IF(E241=INDEX(Prompts!$F$2:$F$200,MATCH($B241,Prompts!$A$2:$A$200,0)),1,0)</f>
        <v>1</v>
      </c>
      <c r="L241" s="3" t="n">
        <f aca="false">IF(AND(G241&gt;Settings!$B$4,OR(D241="",D241&lt;=Settings!$B$4)),1,0)</f>
        <v>0</v>
      </c>
      <c r="M241" s="3" t="n">
        <v>3.93</v>
      </c>
      <c r="N241" s="3" t="n">
        <v>301</v>
      </c>
      <c r="O241" s="3" t="n">
        <v>30</v>
      </c>
      <c r="P241" s="14" t="n">
        <v>0.001324</v>
      </c>
      <c r="Q241" s="3" t="s">
        <v>19</v>
      </c>
      <c r="R241" s="3"/>
    </row>
    <row r="242" customFormat="false" ht="15" hidden="false" customHeight="false" outlineLevel="0" collapsed="false">
      <c r="A242" s="3" t="s">
        <v>19</v>
      </c>
      <c r="B242" s="3" t="n">
        <v>17</v>
      </c>
      <c r="C242" s="3" t="s">
        <v>132</v>
      </c>
      <c r="D242" s="3" t="n">
        <v>3</v>
      </c>
      <c r="E242" s="3" t="s">
        <v>49</v>
      </c>
      <c r="F242" s="3" t="str">
        <f aca="false">IF(D242="","none",IF(D242&lt;=Settings!$B$3,"simple",IF(D242&lt;=Settings!$B$4,"coding","critical")))</f>
        <v>simple</v>
      </c>
      <c r="G242" s="3" t="n">
        <f aca="false">INDEX(Prompts!$D$2:$D$200,MATCH($B242,Prompts!$A$2:$A$200,0))</f>
        <v>3</v>
      </c>
      <c r="H242" s="3" t="n">
        <f aca="false">INDEX(Prompts!$E$2:$E$200,MATCH($B242,Prompts!$A$2:$A$200,0))</f>
        <v>5</v>
      </c>
      <c r="I242" s="3" t="n">
        <f aca="false">IF(D242="",0,IF(OR(F242=IF(G242&lt;=Settings!$B$3,"simple",IF(G242&lt;=Settings!$B$4,"coding","critical")),F242=IF(H242&lt;=Settings!$B$3,"simple",IF(H242&lt;=Settings!$B$4,"coding","critical"))),1,0))</f>
        <v>1</v>
      </c>
      <c r="J242" s="3" t="n">
        <f aca="false">IF(D242="",0,IF(AND(D242&gt;=G242,D242&lt;=H242),1,0))</f>
        <v>1</v>
      </c>
      <c r="K242" s="3" t="n">
        <f aca="false">IF(E242=INDEX(Prompts!$F$2:$F$200,MATCH($B242,Prompts!$A$2:$A$200,0)),1,0)</f>
        <v>0</v>
      </c>
      <c r="L242" s="3" t="n">
        <f aca="false">IF(AND(G242&gt;Settings!$B$4,OR(D242="",D242&lt;=Settings!$B$4)),1,0)</f>
        <v>0</v>
      </c>
      <c r="M242" s="3" t="n">
        <v>4.72</v>
      </c>
      <c r="N242" s="3" t="n">
        <v>296</v>
      </c>
      <c r="O242" s="3" t="n">
        <v>60</v>
      </c>
      <c r="P242" s="14" t="n">
        <v>0.001424</v>
      </c>
      <c r="Q242" s="3" t="s">
        <v>19</v>
      </c>
      <c r="R242" s="3"/>
    </row>
    <row r="243" customFormat="false" ht="15" hidden="false" customHeight="false" outlineLevel="0" collapsed="false">
      <c r="A243" s="3" t="s">
        <v>19</v>
      </c>
      <c r="B243" s="3" t="n">
        <v>18</v>
      </c>
      <c r="C243" s="3" t="s">
        <v>138</v>
      </c>
      <c r="D243" s="3" t="n">
        <v>5</v>
      </c>
      <c r="E243" s="3" t="s">
        <v>49</v>
      </c>
      <c r="F243" s="3" t="str">
        <f aca="false">IF(D243="","none",IF(D243&lt;=Settings!$B$3,"simple",IF(D243&lt;=Settings!$B$4,"coding","critical")))</f>
        <v>coding</v>
      </c>
      <c r="G243" s="3" t="n">
        <f aca="false">INDEX(Prompts!$D$2:$D$200,MATCH($B243,Prompts!$A$2:$A$200,0))</f>
        <v>4</v>
      </c>
      <c r="H243" s="3" t="n">
        <f aca="false">INDEX(Prompts!$E$2:$E$200,MATCH($B243,Prompts!$A$2:$A$200,0))</f>
        <v>6</v>
      </c>
      <c r="I243" s="3" t="n">
        <f aca="false">IF(D243="",0,IF(OR(F243=IF(G243&lt;=Settings!$B$3,"simple",IF(G243&lt;=Settings!$B$4,"coding","critical")),F243=IF(H243&lt;=Settings!$B$3,"simple",IF(H243&lt;=Settings!$B$4,"coding","critical"))),1,0))</f>
        <v>1</v>
      </c>
      <c r="J243" s="3" t="n">
        <f aca="false">IF(D243="",0,IF(AND(D243&gt;=G243,D243&lt;=H243),1,0))</f>
        <v>1</v>
      </c>
      <c r="K243" s="3" t="n">
        <f aca="false">IF(E243=INDEX(Prompts!$F$2:$F$200,MATCH($B243,Prompts!$A$2:$A$200,0)),1,0)</f>
        <v>1</v>
      </c>
      <c r="L243" s="3" t="n">
        <f aca="false">IF(AND(G243&gt;Settings!$B$4,OR(D243="",D243&lt;=Settings!$B$4)),1,0)</f>
        <v>0</v>
      </c>
      <c r="M243" s="3" t="n">
        <v>4.58</v>
      </c>
      <c r="N243" s="3" t="n">
        <v>303</v>
      </c>
      <c r="O243" s="3" t="n">
        <v>58</v>
      </c>
      <c r="P243" s="14" t="n">
        <v>0.001444</v>
      </c>
      <c r="Q243" s="3" t="s">
        <v>19</v>
      </c>
      <c r="R243" s="3"/>
    </row>
    <row r="244" customFormat="false" ht="15" hidden="false" customHeight="false" outlineLevel="0" collapsed="false">
      <c r="A244" s="3" t="s">
        <v>19</v>
      </c>
      <c r="B244" s="3" t="n">
        <v>19</v>
      </c>
      <c r="C244" s="3" t="s">
        <v>154</v>
      </c>
      <c r="D244" s="3" t="n">
        <v>4</v>
      </c>
      <c r="E244" s="3" t="s">
        <v>49</v>
      </c>
      <c r="F244" s="3" t="str">
        <f aca="false">IF(D244="","none",IF(D244&lt;=Settings!$B$3,"simple",IF(D244&lt;=Settings!$B$4,"coding","critical")))</f>
        <v>coding</v>
      </c>
      <c r="G244" s="3" t="n">
        <f aca="false">INDEX(Prompts!$D$2:$D$200,MATCH($B244,Prompts!$A$2:$A$200,0))</f>
        <v>4</v>
      </c>
      <c r="H244" s="3" t="n">
        <f aca="false">INDEX(Prompts!$E$2:$E$200,MATCH($B244,Prompts!$A$2:$A$200,0))</f>
        <v>6</v>
      </c>
      <c r="I244" s="3" t="n">
        <f aca="false">IF(D244="",0,IF(OR(F244=IF(G244&lt;=Settings!$B$3,"simple",IF(G244&lt;=Settings!$B$4,"coding","critical")),F244=IF(H244&lt;=Settings!$B$3,"simple",IF(H244&lt;=Settings!$B$4,"coding","critical"))),1,0))</f>
        <v>1</v>
      </c>
      <c r="J244" s="3" t="n">
        <f aca="false">IF(D244="",0,IF(AND(D244&gt;=G244,D244&lt;=H244),1,0))</f>
        <v>1</v>
      </c>
      <c r="K244" s="3" t="n">
        <f aca="false">IF(E244=INDEX(Prompts!$F$2:$F$200,MATCH($B244,Prompts!$A$2:$A$200,0)),1,0)</f>
        <v>1</v>
      </c>
      <c r="L244" s="3" t="n">
        <f aca="false">IF(AND(G244&gt;Settings!$B$4,OR(D244="",D244&lt;=Settings!$B$4)),1,0)</f>
        <v>0</v>
      </c>
      <c r="M244" s="3" t="n">
        <v>4.52</v>
      </c>
      <c r="N244" s="3" t="n">
        <v>300</v>
      </c>
      <c r="O244" s="3" t="n">
        <v>48</v>
      </c>
      <c r="P244" s="14" t="n">
        <v>0.001392</v>
      </c>
      <c r="Q244" s="3" t="s">
        <v>19</v>
      </c>
      <c r="R244" s="3"/>
    </row>
    <row r="245" customFormat="false" ht="15" hidden="false" customHeight="false" outlineLevel="0" collapsed="false">
      <c r="A245" s="3" t="s">
        <v>19</v>
      </c>
      <c r="B245" s="3" t="n">
        <v>20</v>
      </c>
      <c r="C245" s="3" t="s">
        <v>138</v>
      </c>
      <c r="D245" s="3" t="n">
        <v>5</v>
      </c>
      <c r="E245" s="3" t="s">
        <v>49</v>
      </c>
      <c r="F245" s="3" t="str">
        <f aca="false">IF(D245="","none",IF(D245&lt;=Settings!$B$3,"simple",IF(D245&lt;=Settings!$B$4,"coding","critical")))</f>
        <v>coding</v>
      </c>
      <c r="G245" s="3" t="n">
        <f aca="false">INDEX(Prompts!$D$2:$D$200,MATCH($B245,Prompts!$A$2:$A$200,0))</f>
        <v>4</v>
      </c>
      <c r="H245" s="3" t="n">
        <f aca="false">INDEX(Prompts!$E$2:$E$200,MATCH($B245,Prompts!$A$2:$A$200,0))</f>
        <v>6</v>
      </c>
      <c r="I245" s="3" t="n">
        <f aca="false">IF(D245="",0,IF(OR(F245=IF(G245&lt;=Settings!$B$3,"simple",IF(G245&lt;=Settings!$B$4,"coding","critical")),F245=IF(H245&lt;=Settings!$B$3,"simple",IF(H245&lt;=Settings!$B$4,"coding","critical"))),1,0))</f>
        <v>1</v>
      </c>
      <c r="J245" s="3" t="n">
        <f aca="false">IF(D245="",0,IF(AND(D245&gt;=G245,D245&lt;=H245),1,0))</f>
        <v>1</v>
      </c>
      <c r="K245" s="3" t="n">
        <f aca="false">IF(E245=INDEX(Prompts!$F$2:$F$200,MATCH($B245,Prompts!$A$2:$A$200,0)),1,0)</f>
        <v>1</v>
      </c>
      <c r="L245" s="3" t="n">
        <f aca="false">IF(AND(G245&gt;Settings!$B$4,OR(D245="",D245&lt;=Settings!$B$4)),1,0)</f>
        <v>0</v>
      </c>
      <c r="M245" s="3" t="n">
        <v>3.15</v>
      </c>
      <c r="N245" s="3" t="n">
        <v>296</v>
      </c>
      <c r="O245" s="3" t="n">
        <v>30</v>
      </c>
      <c r="P245" s="14" t="n">
        <v>0.001304</v>
      </c>
      <c r="Q245" s="3" t="s">
        <v>19</v>
      </c>
      <c r="R245" s="3"/>
    </row>
    <row r="246" customFormat="false" ht="15" hidden="false" customHeight="false" outlineLevel="0" collapsed="false">
      <c r="A246" s="3" t="s">
        <v>19</v>
      </c>
      <c r="B246" s="3" t="n">
        <v>21</v>
      </c>
      <c r="C246" s="3" t="s">
        <v>155</v>
      </c>
      <c r="D246" s="3" t="n">
        <v>9</v>
      </c>
      <c r="E246" s="3" t="s">
        <v>56</v>
      </c>
      <c r="F246" s="3" t="str">
        <f aca="false">IF(D246="","none",IF(D246&lt;=Settings!$B$3,"simple",IF(D246&lt;=Settings!$B$4,"coding","critical")))</f>
        <v>critical</v>
      </c>
      <c r="G246" s="3" t="n">
        <f aca="false">INDEX(Prompts!$D$2:$D$200,MATCH($B246,Prompts!$A$2:$A$200,0))</f>
        <v>3</v>
      </c>
      <c r="H246" s="3" t="n">
        <f aca="false">INDEX(Prompts!$E$2:$E$200,MATCH($B246,Prompts!$A$2:$A$200,0))</f>
        <v>5</v>
      </c>
      <c r="I246" s="3" t="n">
        <f aca="false">IF(D246="",0,IF(OR(F246=IF(G246&lt;=Settings!$B$3,"simple",IF(G246&lt;=Settings!$B$4,"coding","critical")),F246=IF(H246&lt;=Settings!$B$3,"simple",IF(H246&lt;=Settings!$B$4,"coding","critical"))),1,0))</f>
        <v>0</v>
      </c>
      <c r="J246" s="3" t="n">
        <f aca="false">IF(D246="",0,IF(AND(D246&gt;=G246,D246&lt;=H246),1,0))</f>
        <v>0</v>
      </c>
      <c r="K246" s="3" t="n">
        <f aca="false">IF(E246=INDEX(Prompts!$F$2:$F$200,MATCH($B246,Prompts!$A$2:$A$200,0)),1,0)</f>
        <v>1</v>
      </c>
      <c r="L246" s="3" t="n">
        <f aca="false">IF(AND(G246&gt;Settings!$B$4,OR(D246="",D246&lt;=Settings!$B$4)),1,0)</f>
        <v>0</v>
      </c>
      <c r="M246" s="3" t="n">
        <v>3.48</v>
      </c>
      <c r="N246" s="3" t="n">
        <v>294</v>
      </c>
      <c r="O246" s="3" t="n">
        <v>38</v>
      </c>
      <c r="P246" s="14" t="n">
        <v>0.001328</v>
      </c>
      <c r="Q246" s="3" t="s">
        <v>19</v>
      </c>
      <c r="R246" s="3"/>
    </row>
    <row r="247" customFormat="false" ht="15" hidden="false" customHeight="false" outlineLevel="0" collapsed="false">
      <c r="A247" s="3" t="s">
        <v>19</v>
      </c>
      <c r="B247" s="3" t="n">
        <v>22</v>
      </c>
      <c r="C247" s="3" t="s">
        <v>142</v>
      </c>
      <c r="D247" s="3" t="n">
        <v>6</v>
      </c>
      <c r="E247" s="3" t="s">
        <v>58</v>
      </c>
      <c r="F247" s="3" t="str">
        <f aca="false">IF(D247="","none",IF(D247&lt;=Settings!$B$3,"simple",IF(D247&lt;=Settings!$B$4,"coding","critical")))</f>
        <v>coding</v>
      </c>
      <c r="G247" s="3" t="n">
        <f aca="false">INDEX(Prompts!$D$2:$D$200,MATCH($B247,Prompts!$A$2:$A$200,0))</f>
        <v>4</v>
      </c>
      <c r="H247" s="3" t="n">
        <f aca="false">INDEX(Prompts!$E$2:$E$200,MATCH($B247,Prompts!$A$2:$A$200,0))</f>
        <v>6</v>
      </c>
      <c r="I247" s="3" t="n">
        <f aca="false">IF(D247="",0,IF(OR(F247=IF(G247&lt;=Settings!$B$3,"simple",IF(G247&lt;=Settings!$B$4,"coding","critical")),F247=IF(H247&lt;=Settings!$B$3,"simple",IF(H247&lt;=Settings!$B$4,"coding","critical"))),1,0))</f>
        <v>1</v>
      </c>
      <c r="J247" s="3" t="n">
        <f aca="false">IF(D247="",0,IF(AND(D247&gt;=G247,D247&lt;=H247),1,0))</f>
        <v>1</v>
      </c>
      <c r="K247" s="3" t="n">
        <f aca="false">IF(E247=INDEX(Prompts!$F$2:$F$200,MATCH($B247,Prompts!$A$2:$A$200,0)),1,0)</f>
        <v>1</v>
      </c>
      <c r="L247" s="3" t="n">
        <f aca="false">IF(AND(G247&gt;Settings!$B$4,OR(D247="",D247&lt;=Settings!$B$4)),1,0)</f>
        <v>0</v>
      </c>
      <c r="M247" s="3" t="n">
        <v>3.67</v>
      </c>
      <c r="N247" s="3" t="n">
        <v>294</v>
      </c>
      <c r="O247" s="3" t="n">
        <v>50</v>
      </c>
      <c r="P247" s="14" t="n">
        <v>0.001376</v>
      </c>
      <c r="Q247" s="3" t="s">
        <v>19</v>
      </c>
      <c r="R247" s="3"/>
    </row>
    <row r="248" customFormat="false" ht="15" hidden="false" customHeight="false" outlineLevel="0" collapsed="false">
      <c r="A248" s="3" t="s">
        <v>19</v>
      </c>
      <c r="B248" s="3" t="n">
        <v>23</v>
      </c>
      <c r="C248" s="3" t="s">
        <v>140</v>
      </c>
      <c r="D248" s="3" t="n">
        <v>6</v>
      </c>
      <c r="E248" s="3" t="s">
        <v>49</v>
      </c>
      <c r="F248" s="3" t="str">
        <f aca="false">IF(D248="","none",IF(D248&lt;=Settings!$B$3,"simple",IF(D248&lt;=Settings!$B$4,"coding","critical")))</f>
        <v>coding</v>
      </c>
      <c r="G248" s="3" t="n">
        <f aca="false">INDEX(Prompts!$D$2:$D$200,MATCH($B248,Prompts!$A$2:$A$200,0))</f>
        <v>5</v>
      </c>
      <c r="H248" s="3" t="n">
        <f aca="false">INDEX(Prompts!$E$2:$E$200,MATCH($B248,Prompts!$A$2:$A$200,0))</f>
        <v>6</v>
      </c>
      <c r="I248" s="3" t="n">
        <f aca="false">IF(D248="",0,IF(OR(F248=IF(G248&lt;=Settings!$B$3,"simple",IF(G248&lt;=Settings!$B$4,"coding","critical")),F248=IF(H248&lt;=Settings!$B$3,"simple",IF(H248&lt;=Settings!$B$4,"coding","critical"))),1,0))</f>
        <v>1</v>
      </c>
      <c r="J248" s="3" t="n">
        <f aca="false">IF(D248="",0,IF(AND(D248&gt;=G248,D248&lt;=H248),1,0))</f>
        <v>1</v>
      </c>
      <c r="K248" s="3" t="n">
        <f aca="false">IF(E248=INDEX(Prompts!$F$2:$F$200,MATCH($B248,Prompts!$A$2:$A$200,0)),1,0)</f>
        <v>1</v>
      </c>
      <c r="L248" s="3" t="n">
        <f aca="false">IF(AND(G248&gt;Settings!$B$4,OR(D248="",D248&lt;=Settings!$B$4)),1,0)</f>
        <v>0</v>
      </c>
      <c r="M248" s="3" t="n">
        <v>2.47</v>
      </c>
      <c r="N248" s="3" t="n">
        <v>299</v>
      </c>
      <c r="O248" s="3" t="n">
        <v>27</v>
      </c>
      <c r="P248" s="14" t="n">
        <v>0.001304</v>
      </c>
      <c r="Q248" s="3" t="s">
        <v>19</v>
      </c>
      <c r="R248" s="3"/>
    </row>
    <row r="249" customFormat="false" ht="15" hidden="false" customHeight="false" outlineLevel="0" collapsed="false">
      <c r="A249" s="3" t="s">
        <v>19</v>
      </c>
      <c r="B249" s="3" t="n">
        <v>24</v>
      </c>
      <c r="C249" s="3" t="s">
        <v>138</v>
      </c>
      <c r="D249" s="3" t="n">
        <v>5</v>
      </c>
      <c r="E249" s="3" t="s">
        <v>49</v>
      </c>
      <c r="F249" s="3" t="str">
        <f aca="false">IF(D249="","none",IF(D249&lt;=Settings!$B$3,"simple",IF(D249&lt;=Settings!$B$4,"coding","critical")))</f>
        <v>coding</v>
      </c>
      <c r="G249" s="3" t="n">
        <f aca="false">INDEX(Prompts!$D$2:$D$200,MATCH($B249,Prompts!$A$2:$A$200,0))</f>
        <v>5</v>
      </c>
      <c r="H249" s="3" t="n">
        <f aca="false">INDEX(Prompts!$E$2:$E$200,MATCH($B249,Prompts!$A$2:$A$200,0))</f>
        <v>7</v>
      </c>
      <c r="I249" s="3" t="n">
        <f aca="false">IF(D249="",0,IF(OR(F249=IF(G249&lt;=Settings!$B$3,"simple",IF(G249&lt;=Settings!$B$4,"coding","critical")),F249=IF(H249&lt;=Settings!$B$3,"simple",IF(H249&lt;=Settings!$B$4,"coding","critical"))),1,0))</f>
        <v>1</v>
      </c>
      <c r="J249" s="3" t="n">
        <f aca="false">IF(D249="",0,IF(AND(D249&gt;=G249,D249&lt;=H249),1,0))</f>
        <v>1</v>
      </c>
      <c r="K249" s="3" t="n">
        <f aca="false">IF(E249=INDEX(Prompts!$F$2:$F$200,MATCH($B249,Prompts!$A$2:$A$200,0)),1,0)</f>
        <v>1</v>
      </c>
      <c r="L249" s="3" t="n">
        <f aca="false">IF(AND(G249&gt;Settings!$B$4,OR(D249="",D249&lt;=Settings!$B$4)),1,0)</f>
        <v>0</v>
      </c>
      <c r="M249" s="3" t="n">
        <v>3.15</v>
      </c>
      <c r="N249" s="3" t="n">
        <v>297</v>
      </c>
      <c r="O249" s="3" t="n">
        <v>28</v>
      </c>
      <c r="P249" s="14" t="n">
        <v>0.0013</v>
      </c>
      <c r="Q249" s="3" t="s">
        <v>19</v>
      </c>
      <c r="R249" s="3"/>
    </row>
    <row r="250" customFormat="false" ht="15" hidden="false" customHeight="false" outlineLevel="0" collapsed="false">
      <c r="A250" s="3" t="s">
        <v>19</v>
      </c>
      <c r="B250" s="3" t="n">
        <v>25</v>
      </c>
      <c r="C250" s="3" t="s">
        <v>140</v>
      </c>
      <c r="D250" s="3" t="n">
        <v>6</v>
      </c>
      <c r="E250" s="3" t="s">
        <v>49</v>
      </c>
      <c r="F250" s="3" t="str">
        <f aca="false">IF(D250="","none",IF(D250&lt;=Settings!$B$3,"simple",IF(D250&lt;=Settings!$B$4,"coding","critical")))</f>
        <v>coding</v>
      </c>
      <c r="G250" s="3" t="n">
        <f aca="false">INDEX(Prompts!$D$2:$D$200,MATCH($B250,Prompts!$A$2:$A$200,0))</f>
        <v>5</v>
      </c>
      <c r="H250" s="3" t="n">
        <f aca="false">INDEX(Prompts!$E$2:$E$200,MATCH($B250,Prompts!$A$2:$A$200,0))</f>
        <v>7</v>
      </c>
      <c r="I250" s="3" t="n">
        <f aca="false">IF(D250="",0,IF(OR(F250=IF(G250&lt;=Settings!$B$3,"simple",IF(G250&lt;=Settings!$B$4,"coding","critical")),F250=IF(H250&lt;=Settings!$B$3,"simple",IF(H250&lt;=Settings!$B$4,"coding","critical"))),1,0))</f>
        <v>1</v>
      </c>
      <c r="J250" s="3" t="n">
        <f aca="false">IF(D250="",0,IF(AND(D250&gt;=G250,D250&lt;=H250),1,0))</f>
        <v>1</v>
      </c>
      <c r="K250" s="3" t="n">
        <f aca="false">IF(E250=INDEX(Prompts!$F$2:$F$200,MATCH($B250,Prompts!$A$2:$A$200,0)),1,0)</f>
        <v>1</v>
      </c>
      <c r="L250" s="3" t="n">
        <f aca="false">IF(AND(G250&gt;Settings!$B$4,OR(D250="",D250&lt;=Settings!$B$4)),1,0)</f>
        <v>0</v>
      </c>
      <c r="M250" s="3" t="n">
        <v>5.16</v>
      </c>
      <c r="N250" s="3" t="n">
        <v>301</v>
      </c>
      <c r="O250" s="3" t="n">
        <v>32</v>
      </c>
      <c r="P250" s="14" t="n">
        <v>0.001332</v>
      </c>
      <c r="Q250" s="3" t="s">
        <v>19</v>
      </c>
      <c r="R250" s="3"/>
    </row>
    <row r="251" customFormat="false" ht="15" hidden="false" customHeight="false" outlineLevel="0" collapsed="false">
      <c r="A251" s="3" t="s">
        <v>19</v>
      </c>
      <c r="B251" s="3" t="n">
        <v>26</v>
      </c>
      <c r="C251" s="3" t="s">
        <v>138</v>
      </c>
      <c r="D251" s="3" t="n">
        <v>5</v>
      </c>
      <c r="E251" s="3" t="s">
        <v>49</v>
      </c>
      <c r="F251" s="3" t="str">
        <f aca="false">IF(D251="","none",IF(D251&lt;=Settings!$B$3,"simple",IF(D251&lt;=Settings!$B$4,"coding","critical")))</f>
        <v>coding</v>
      </c>
      <c r="G251" s="3" t="n">
        <f aca="false">INDEX(Prompts!$D$2:$D$200,MATCH($B251,Prompts!$A$2:$A$200,0))</f>
        <v>5</v>
      </c>
      <c r="H251" s="3" t="n">
        <f aca="false">INDEX(Prompts!$E$2:$E$200,MATCH($B251,Prompts!$A$2:$A$200,0))</f>
        <v>6</v>
      </c>
      <c r="I251" s="3" t="n">
        <f aca="false">IF(D251="",0,IF(OR(F251=IF(G251&lt;=Settings!$B$3,"simple",IF(G251&lt;=Settings!$B$4,"coding","critical")),F251=IF(H251&lt;=Settings!$B$3,"simple",IF(H251&lt;=Settings!$B$4,"coding","critical"))),1,0))</f>
        <v>1</v>
      </c>
      <c r="J251" s="3" t="n">
        <f aca="false">IF(D251="",0,IF(AND(D251&gt;=G251,D251&lt;=H251),1,0))</f>
        <v>1</v>
      </c>
      <c r="K251" s="3" t="n">
        <f aca="false">IF(E251=INDEX(Prompts!$F$2:$F$200,MATCH($B251,Prompts!$A$2:$A$200,0)),1,0)</f>
        <v>1</v>
      </c>
      <c r="L251" s="3" t="n">
        <f aca="false">IF(AND(G251&gt;Settings!$B$4,OR(D251="",D251&lt;=Settings!$B$4)),1,0)</f>
        <v>0</v>
      </c>
      <c r="M251" s="3" t="n">
        <v>5.15</v>
      </c>
      <c r="N251" s="3" t="n">
        <v>291</v>
      </c>
      <c r="O251" s="3" t="n">
        <v>41</v>
      </c>
      <c r="P251" s="14" t="n">
        <v>0.001328</v>
      </c>
      <c r="Q251" s="3" t="s">
        <v>19</v>
      </c>
      <c r="R251" s="3"/>
    </row>
    <row r="252" customFormat="false" ht="15" hidden="false" customHeight="false" outlineLevel="0" collapsed="false">
      <c r="A252" s="3" t="s">
        <v>19</v>
      </c>
      <c r="B252" s="3" t="n">
        <v>27</v>
      </c>
      <c r="C252" s="3" t="s">
        <v>146</v>
      </c>
      <c r="D252" s="3" t="n">
        <v>8</v>
      </c>
      <c r="E252" s="3" t="s">
        <v>49</v>
      </c>
      <c r="F252" s="3" t="str">
        <f aca="false">IF(D252="","none",IF(D252&lt;=Settings!$B$3,"simple",IF(D252&lt;=Settings!$B$4,"coding","critical")))</f>
        <v>critical</v>
      </c>
      <c r="G252" s="3" t="n">
        <f aca="false">INDEX(Prompts!$D$2:$D$200,MATCH($B252,Prompts!$A$2:$A$200,0))</f>
        <v>7</v>
      </c>
      <c r="H252" s="3" t="n">
        <f aca="false">INDEX(Prompts!$E$2:$E$200,MATCH($B252,Prompts!$A$2:$A$200,0))</f>
        <v>9</v>
      </c>
      <c r="I252" s="3" t="n">
        <f aca="false">IF(D252="",0,IF(OR(F252=IF(G252&lt;=Settings!$B$3,"simple",IF(G252&lt;=Settings!$B$4,"coding","critical")),F252=IF(H252&lt;=Settings!$B$3,"simple",IF(H252&lt;=Settings!$B$4,"coding","critical"))),1,0))</f>
        <v>1</v>
      </c>
      <c r="J252" s="3" t="n">
        <f aca="false">IF(D252="",0,IF(AND(D252&gt;=G252,D252&lt;=H252),1,0))</f>
        <v>1</v>
      </c>
      <c r="K252" s="3" t="n">
        <f aca="false">IF(E252=INDEX(Prompts!$F$2:$F$200,MATCH($B252,Prompts!$A$2:$A$200,0)),1,0)</f>
        <v>1</v>
      </c>
      <c r="L252" s="3" t="n">
        <f aca="false">IF(AND(G252&gt;Settings!$B$4,OR(D252="",D252&lt;=Settings!$B$4)),1,0)</f>
        <v>0</v>
      </c>
      <c r="M252" s="3" t="n">
        <v>5.71</v>
      </c>
      <c r="N252" s="3" t="n">
        <v>297</v>
      </c>
      <c r="O252" s="3" t="n">
        <v>47</v>
      </c>
      <c r="P252" s="14" t="n">
        <v>0.001376</v>
      </c>
      <c r="Q252" s="3" t="s">
        <v>19</v>
      </c>
      <c r="R252" s="3"/>
    </row>
    <row r="253" customFormat="false" ht="15" hidden="false" customHeight="false" outlineLevel="0" collapsed="false">
      <c r="A253" s="3" t="s">
        <v>19</v>
      </c>
      <c r="B253" s="3" t="n">
        <v>28</v>
      </c>
      <c r="C253" s="3" t="s">
        <v>158</v>
      </c>
      <c r="D253" s="3" t="n">
        <v>8</v>
      </c>
      <c r="E253" s="3" t="s">
        <v>53</v>
      </c>
      <c r="F253" s="3" t="str">
        <f aca="false">IF(D253="","none",IF(D253&lt;=Settings!$B$3,"simple",IF(D253&lt;=Settings!$B$4,"coding","critical")))</f>
        <v>critical</v>
      </c>
      <c r="G253" s="3" t="n">
        <f aca="false">INDEX(Prompts!$D$2:$D$200,MATCH($B253,Prompts!$A$2:$A$200,0))</f>
        <v>7</v>
      </c>
      <c r="H253" s="3" t="n">
        <f aca="false">INDEX(Prompts!$E$2:$E$200,MATCH($B253,Prompts!$A$2:$A$200,0))</f>
        <v>9</v>
      </c>
      <c r="I253" s="3" t="n">
        <f aca="false">IF(D253="",0,IF(OR(F253=IF(G253&lt;=Settings!$B$3,"simple",IF(G253&lt;=Settings!$B$4,"coding","critical")),F253=IF(H253&lt;=Settings!$B$3,"simple",IF(H253&lt;=Settings!$B$4,"coding","critical"))),1,0))</f>
        <v>1</v>
      </c>
      <c r="J253" s="3" t="n">
        <f aca="false">IF(D253="",0,IF(AND(D253&gt;=G253,D253&lt;=H253),1,0))</f>
        <v>1</v>
      </c>
      <c r="K253" s="3" t="n">
        <f aca="false">IF(E253=INDEX(Prompts!$F$2:$F$200,MATCH($B253,Prompts!$A$2:$A$200,0)),1,0)</f>
        <v>1</v>
      </c>
      <c r="L253" s="3" t="n">
        <f aca="false">IF(AND(G253&gt;Settings!$B$4,OR(D253="",D253&lt;=Settings!$B$4)),1,0)</f>
        <v>0</v>
      </c>
      <c r="M253" s="3" t="n">
        <v>5.06</v>
      </c>
      <c r="N253" s="3" t="n">
        <v>304</v>
      </c>
      <c r="O253" s="3" t="n">
        <v>100</v>
      </c>
      <c r="P253" s="14" t="n">
        <v>0.001616</v>
      </c>
      <c r="Q253" s="3" t="s">
        <v>19</v>
      </c>
      <c r="R253" s="3"/>
    </row>
    <row r="254" customFormat="false" ht="15" hidden="false" customHeight="false" outlineLevel="0" collapsed="false">
      <c r="A254" s="3" t="s">
        <v>19</v>
      </c>
      <c r="B254" s="3" t="n">
        <v>29</v>
      </c>
      <c r="C254" s="3" t="s">
        <v>148</v>
      </c>
      <c r="D254" s="3" t="n">
        <v>9</v>
      </c>
      <c r="E254" s="3" t="s">
        <v>49</v>
      </c>
      <c r="F254" s="3" t="str">
        <f aca="false">IF(D254="","none",IF(D254&lt;=Settings!$B$3,"simple",IF(D254&lt;=Settings!$B$4,"coding","critical")))</f>
        <v>critical</v>
      </c>
      <c r="G254" s="3" t="n">
        <f aca="false">INDEX(Prompts!$D$2:$D$200,MATCH($B254,Prompts!$A$2:$A$200,0))</f>
        <v>8</v>
      </c>
      <c r="H254" s="3" t="n">
        <f aca="false">INDEX(Prompts!$E$2:$E$200,MATCH($B254,Prompts!$A$2:$A$200,0))</f>
        <v>10</v>
      </c>
      <c r="I254" s="3" t="n">
        <f aca="false">IF(D254="",0,IF(OR(F254=IF(G254&lt;=Settings!$B$3,"simple",IF(G254&lt;=Settings!$B$4,"coding","critical")),F254=IF(H254&lt;=Settings!$B$3,"simple",IF(H254&lt;=Settings!$B$4,"coding","critical"))),1,0))</f>
        <v>1</v>
      </c>
      <c r="J254" s="3" t="n">
        <f aca="false">IF(D254="",0,IF(AND(D254&gt;=G254,D254&lt;=H254),1,0))</f>
        <v>1</v>
      </c>
      <c r="K254" s="3" t="n">
        <f aca="false">IF(E254=INDEX(Prompts!$F$2:$F$200,MATCH($B254,Prompts!$A$2:$A$200,0)),1,0)</f>
        <v>1</v>
      </c>
      <c r="L254" s="3" t="n">
        <f aca="false">IF(AND(G254&gt;Settings!$B$4,OR(D254="",D254&lt;=Settings!$B$4)),1,0)</f>
        <v>0</v>
      </c>
      <c r="M254" s="3" t="n">
        <v>5.11</v>
      </c>
      <c r="N254" s="3" t="n">
        <v>303</v>
      </c>
      <c r="O254" s="3" t="n">
        <v>6</v>
      </c>
      <c r="P254" s="14" t="n">
        <v>0.001236</v>
      </c>
      <c r="Q254" s="3" t="s">
        <v>19</v>
      </c>
      <c r="R254" s="3"/>
    </row>
    <row r="255" customFormat="false" ht="15" hidden="false" customHeight="false" outlineLevel="0" collapsed="false">
      <c r="A255" s="3" t="s">
        <v>19</v>
      </c>
      <c r="B255" s="3" t="n">
        <v>30</v>
      </c>
      <c r="C255" s="3" t="s">
        <v>176</v>
      </c>
      <c r="D255" s="3" t="n">
        <v>10</v>
      </c>
      <c r="E255" s="3" t="s">
        <v>69</v>
      </c>
      <c r="F255" s="3" t="str">
        <f aca="false">IF(D255="","none",IF(D255&lt;=Settings!$B$3,"simple",IF(D255&lt;=Settings!$B$4,"coding","critical")))</f>
        <v>critical</v>
      </c>
      <c r="G255" s="3" t="n">
        <f aca="false">INDEX(Prompts!$D$2:$D$200,MATCH($B255,Prompts!$A$2:$A$200,0))</f>
        <v>9</v>
      </c>
      <c r="H255" s="3" t="n">
        <f aca="false">INDEX(Prompts!$E$2:$E$200,MATCH($B255,Prompts!$A$2:$A$200,0))</f>
        <v>10</v>
      </c>
      <c r="I255" s="3" t="n">
        <f aca="false">IF(D255="",0,IF(OR(F255=IF(G255&lt;=Settings!$B$3,"simple",IF(G255&lt;=Settings!$B$4,"coding","critical")),F255=IF(H255&lt;=Settings!$B$3,"simple",IF(H255&lt;=Settings!$B$4,"coding","critical"))),1,0))</f>
        <v>1</v>
      </c>
      <c r="J255" s="3" t="n">
        <f aca="false">IF(D255="",0,IF(AND(D255&gt;=G255,D255&lt;=H255),1,0))</f>
        <v>1</v>
      </c>
      <c r="K255" s="3" t="n">
        <f aca="false">IF(E255=INDEX(Prompts!$F$2:$F$200,MATCH($B255,Prompts!$A$2:$A$200,0)),1,0)</f>
        <v>0</v>
      </c>
      <c r="L255" s="3" t="n">
        <f aca="false">IF(AND(G255&gt;Settings!$B$4,OR(D255="",D255&lt;=Settings!$B$4)),1,0)</f>
        <v>0</v>
      </c>
      <c r="M255" s="3" t="n">
        <v>9.41</v>
      </c>
      <c r="N255" s="3" t="n">
        <v>297</v>
      </c>
      <c r="O255" s="3" t="n">
        <v>142</v>
      </c>
      <c r="P255" s="14" t="n">
        <v>0.001756</v>
      </c>
      <c r="Q255" s="3" t="s">
        <v>19</v>
      </c>
      <c r="R255" s="3"/>
    </row>
    <row r="256" customFormat="false" ht="15" hidden="false" customHeight="false" outlineLevel="0" collapsed="false">
      <c r="A256" s="3" t="s">
        <v>19</v>
      </c>
      <c r="B256" s="3" t="n">
        <v>31</v>
      </c>
      <c r="C256" s="3" t="s">
        <v>148</v>
      </c>
      <c r="D256" s="3" t="n">
        <v>9</v>
      </c>
      <c r="E256" s="3" t="s">
        <v>49</v>
      </c>
      <c r="F256" s="3" t="str">
        <f aca="false">IF(D256="","none",IF(D256&lt;=Settings!$B$3,"simple",IF(D256&lt;=Settings!$B$4,"coding","critical")))</f>
        <v>critical</v>
      </c>
      <c r="G256" s="3" t="n">
        <f aca="false">INDEX(Prompts!$D$2:$D$200,MATCH($B256,Prompts!$A$2:$A$200,0))</f>
        <v>9</v>
      </c>
      <c r="H256" s="3" t="n">
        <f aca="false">INDEX(Prompts!$E$2:$E$200,MATCH($B256,Prompts!$A$2:$A$200,0))</f>
        <v>10</v>
      </c>
      <c r="I256" s="3" t="n">
        <f aca="false">IF(D256="",0,IF(OR(F256=IF(G256&lt;=Settings!$B$3,"simple",IF(G256&lt;=Settings!$B$4,"coding","critical")),F256=IF(H256&lt;=Settings!$B$3,"simple",IF(H256&lt;=Settings!$B$4,"coding","critical"))),1,0))</f>
        <v>1</v>
      </c>
      <c r="J256" s="3" t="n">
        <f aca="false">IF(D256="",0,IF(AND(D256&gt;=G256,D256&lt;=H256),1,0))</f>
        <v>1</v>
      </c>
      <c r="K256" s="3" t="n">
        <f aca="false">IF(E256=INDEX(Prompts!$F$2:$F$200,MATCH($B256,Prompts!$A$2:$A$200,0)),1,0)</f>
        <v>0</v>
      </c>
      <c r="L256" s="3" t="n">
        <f aca="false">IF(AND(G256&gt;Settings!$B$4,OR(D256="",D256&lt;=Settings!$B$4)),1,0)</f>
        <v>0</v>
      </c>
      <c r="M256" s="3" t="n">
        <v>5.58</v>
      </c>
      <c r="N256" s="3" t="n">
        <v>299</v>
      </c>
      <c r="O256" s="3" t="n">
        <v>43</v>
      </c>
      <c r="P256" s="14" t="n">
        <v>0.001368</v>
      </c>
      <c r="Q256" s="3" t="s">
        <v>19</v>
      </c>
      <c r="R256" s="3"/>
    </row>
    <row r="257" customFormat="false" ht="15" hidden="false" customHeight="false" outlineLevel="0" collapsed="false">
      <c r="A257" s="3" t="s">
        <v>19</v>
      </c>
      <c r="B257" s="3" t="n">
        <v>32</v>
      </c>
      <c r="C257" s="3" t="s">
        <v>159</v>
      </c>
      <c r="D257" s="3" t="n">
        <v>10</v>
      </c>
      <c r="E257" s="3" t="s">
        <v>49</v>
      </c>
      <c r="F257" s="3" t="str">
        <f aca="false">IF(D257="","none",IF(D257&lt;=Settings!$B$3,"simple",IF(D257&lt;=Settings!$B$4,"coding","critical")))</f>
        <v>critical</v>
      </c>
      <c r="G257" s="3" t="n">
        <f aca="false">INDEX(Prompts!$D$2:$D$200,MATCH($B257,Prompts!$A$2:$A$200,0))</f>
        <v>9</v>
      </c>
      <c r="H257" s="3" t="n">
        <f aca="false">INDEX(Prompts!$E$2:$E$200,MATCH($B257,Prompts!$A$2:$A$200,0))</f>
        <v>10</v>
      </c>
      <c r="I257" s="3" t="n">
        <f aca="false">IF(D257="",0,IF(OR(F257=IF(G257&lt;=Settings!$B$3,"simple",IF(G257&lt;=Settings!$B$4,"coding","critical")),F257=IF(H257&lt;=Settings!$B$3,"simple",IF(H257&lt;=Settings!$B$4,"coding","critical"))),1,0))</f>
        <v>1</v>
      </c>
      <c r="J257" s="3" t="n">
        <f aca="false">IF(D257="",0,IF(AND(D257&gt;=G257,D257&lt;=H257),1,0))</f>
        <v>1</v>
      </c>
      <c r="K257" s="3" t="n">
        <f aca="false">IF(E257=INDEX(Prompts!$F$2:$F$200,MATCH($B257,Prompts!$A$2:$A$200,0)),1,0)</f>
        <v>1</v>
      </c>
      <c r="L257" s="3" t="n">
        <f aca="false">IF(AND(G257&gt;Settings!$B$4,OR(D257="",D257&lt;=Settings!$B$4)),1,0)</f>
        <v>0</v>
      </c>
      <c r="M257" s="3" t="n">
        <v>4.08</v>
      </c>
      <c r="N257" s="3" t="n">
        <v>316</v>
      </c>
      <c r="O257" s="3" t="n">
        <v>35</v>
      </c>
      <c r="P257" s="14" t="n">
        <v>0.001404</v>
      </c>
      <c r="Q257" s="3" t="s">
        <v>19</v>
      </c>
      <c r="R257" s="3"/>
    </row>
    <row r="258" customFormat="false" ht="15" hidden="false" customHeight="false" outlineLevel="0" collapsed="false">
      <c r="A258" s="3" t="s">
        <v>20</v>
      </c>
      <c r="B258" s="3" t="n">
        <v>1</v>
      </c>
      <c r="C258" s="3" t="s">
        <v>179</v>
      </c>
      <c r="D258" s="3" t="n">
        <v>1</v>
      </c>
      <c r="E258" s="3" t="s">
        <v>49</v>
      </c>
      <c r="F258" s="3" t="str">
        <f aca="false">IF(D258="","none",IF(D258&lt;=Settings!$B$3,"simple",IF(D258&lt;=Settings!$B$4,"coding","critical")))</f>
        <v>simple</v>
      </c>
      <c r="G258" s="3" t="n">
        <f aca="false">INDEX(Prompts!$D$2:$D$200,MATCH($B258,Prompts!$A$2:$A$200,0))</f>
        <v>1</v>
      </c>
      <c r="H258" s="3" t="n">
        <f aca="false">INDEX(Prompts!$E$2:$E$200,MATCH($B258,Prompts!$A$2:$A$200,0))</f>
        <v>2</v>
      </c>
      <c r="I258" s="3" t="n">
        <f aca="false">IF(D258="",0,IF(OR(F258=IF(G258&lt;=Settings!$B$3,"simple",IF(G258&lt;=Settings!$B$4,"coding","critical")),F258=IF(H258&lt;=Settings!$B$3,"simple",IF(H258&lt;=Settings!$B$4,"coding","critical"))),1,0))</f>
        <v>1</v>
      </c>
      <c r="J258" s="3" t="n">
        <f aca="false">IF(D258="",0,IF(AND(D258&gt;=G258,D258&lt;=H258),1,0))</f>
        <v>1</v>
      </c>
      <c r="K258" s="3" t="n">
        <f aca="false">IF(E258=INDEX(Prompts!$F$2:$F$200,MATCH($B258,Prompts!$A$2:$A$200,0)),1,0)</f>
        <v>1</v>
      </c>
      <c r="L258" s="3" t="n">
        <f aca="false">IF(AND(G258&gt;Settings!$B$4,OR(D258="",D258&lt;=Settings!$B$4)),1,0)</f>
        <v>0</v>
      </c>
      <c r="M258" s="3" t="n">
        <v>12.95</v>
      </c>
      <c r="N258" s="3" t="n">
        <v>290</v>
      </c>
      <c r="O258" s="3" t="n">
        <v>400</v>
      </c>
      <c r="P258" s="14" t="n">
        <v>0.001173</v>
      </c>
      <c r="Q258" s="3" t="s">
        <v>180</v>
      </c>
      <c r="R258" s="3"/>
    </row>
    <row r="259" customFormat="false" ht="15" hidden="false" customHeight="false" outlineLevel="0" collapsed="false">
      <c r="A259" s="3" t="s">
        <v>20</v>
      </c>
      <c r="B259" s="3" t="n">
        <v>2</v>
      </c>
      <c r="C259" s="3" t="s">
        <v>128</v>
      </c>
      <c r="D259" s="3" t="n">
        <v>1</v>
      </c>
      <c r="E259" s="3" t="s">
        <v>56</v>
      </c>
      <c r="F259" s="3" t="str">
        <f aca="false">IF(D259="","none",IF(D259&lt;=Settings!$B$3,"simple",IF(D259&lt;=Settings!$B$4,"coding","critical")))</f>
        <v>simple</v>
      </c>
      <c r="G259" s="3" t="n">
        <f aca="false">INDEX(Prompts!$D$2:$D$200,MATCH($B259,Prompts!$A$2:$A$200,0))</f>
        <v>1</v>
      </c>
      <c r="H259" s="3" t="n">
        <f aca="false">INDEX(Prompts!$E$2:$E$200,MATCH($B259,Prompts!$A$2:$A$200,0))</f>
        <v>2</v>
      </c>
      <c r="I259" s="3" t="n">
        <f aca="false">IF(D259="",0,IF(OR(F259=IF(G259&lt;=Settings!$B$3,"simple",IF(G259&lt;=Settings!$B$4,"coding","critical")),F259=IF(H259&lt;=Settings!$B$3,"simple",IF(H259&lt;=Settings!$B$4,"coding","critical"))),1,0))</f>
        <v>1</v>
      </c>
      <c r="J259" s="3" t="n">
        <f aca="false">IF(D259="",0,IF(AND(D259&gt;=G259,D259&lt;=H259),1,0))</f>
        <v>1</v>
      </c>
      <c r="K259" s="3" t="n">
        <f aca="false">IF(E259=INDEX(Prompts!$F$2:$F$200,MATCH($B259,Prompts!$A$2:$A$200,0)),1,0)</f>
        <v>0</v>
      </c>
      <c r="L259" s="3" t="n">
        <f aca="false">IF(AND(G259&gt;Settings!$B$4,OR(D259="",D259&lt;=Settings!$B$4)),1,0)</f>
        <v>0</v>
      </c>
      <c r="M259" s="3" t="n">
        <v>8.73</v>
      </c>
      <c r="N259" s="3" t="n">
        <v>296</v>
      </c>
      <c r="O259" s="3" t="n">
        <v>272</v>
      </c>
      <c r="P259" s="14" t="n">
        <v>0.000966</v>
      </c>
      <c r="Q259" s="3" t="s">
        <v>180</v>
      </c>
      <c r="R259" s="3"/>
    </row>
    <row r="260" customFormat="false" ht="15" hidden="false" customHeight="false" outlineLevel="0" collapsed="false">
      <c r="A260" s="3" t="s">
        <v>20</v>
      </c>
      <c r="B260" s="3" t="n">
        <v>3</v>
      </c>
      <c r="C260" s="3" t="s">
        <v>181</v>
      </c>
      <c r="D260" s="3" t="n">
        <v>1</v>
      </c>
      <c r="E260" s="3" t="s">
        <v>49</v>
      </c>
      <c r="F260" s="3" t="str">
        <f aca="false">IF(D260="","none",IF(D260&lt;=Settings!$B$3,"simple",IF(D260&lt;=Settings!$B$4,"coding","critical")))</f>
        <v>simple</v>
      </c>
      <c r="G260" s="3" t="n">
        <f aca="false">INDEX(Prompts!$D$2:$D$200,MATCH($B260,Prompts!$A$2:$A$200,0))</f>
        <v>1</v>
      </c>
      <c r="H260" s="3" t="n">
        <f aca="false">INDEX(Prompts!$E$2:$E$200,MATCH($B260,Prompts!$A$2:$A$200,0))</f>
        <v>2</v>
      </c>
      <c r="I260" s="3" t="n">
        <f aca="false">IF(D260="",0,IF(OR(F260=IF(G260&lt;=Settings!$B$3,"simple",IF(G260&lt;=Settings!$B$4,"coding","critical")),F260=IF(H260&lt;=Settings!$B$3,"simple",IF(H260&lt;=Settings!$B$4,"coding","critical"))),1,0))</f>
        <v>1</v>
      </c>
      <c r="J260" s="3" t="n">
        <f aca="false">IF(D260="",0,IF(AND(D260&gt;=G260,D260&lt;=H260),1,0))</f>
        <v>1</v>
      </c>
      <c r="K260" s="3" t="n">
        <f aca="false">IF(E260=INDEX(Prompts!$F$2:$F$200,MATCH($B260,Prompts!$A$2:$A$200,0)),1,0)</f>
        <v>0</v>
      </c>
      <c r="L260" s="3" t="n">
        <f aca="false">IF(AND(G260&gt;Settings!$B$4,OR(D260="",D260&lt;=Settings!$B$4)),1,0)</f>
        <v>0</v>
      </c>
      <c r="M260" s="3" t="n">
        <v>14.71</v>
      </c>
      <c r="N260" s="3" t="n">
        <v>294</v>
      </c>
      <c r="O260" s="3" t="n">
        <v>400</v>
      </c>
      <c r="P260" s="14" t="n">
        <v>0.00118</v>
      </c>
      <c r="Q260" s="3" t="s">
        <v>180</v>
      </c>
      <c r="R260" s="3"/>
    </row>
    <row r="261" customFormat="false" ht="15" hidden="false" customHeight="false" outlineLevel="0" collapsed="false">
      <c r="A261" s="3" t="s">
        <v>20</v>
      </c>
      <c r="B261" s="3" t="n">
        <v>4</v>
      </c>
      <c r="C261" s="3" t="s">
        <v>182</v>
      </c>
      <c r="D261" s="3" t="n">
        <v>1</v>
      </c>
      <c r="E261" s="3" t="s">
        <v>49</v>
      </c>
      <c r="F261" s="3" t="str">
        <f aca="false">IF(D261="","none",IF(D261&lt;=Settings!$B$3,"simple",IF(D261&lt;=Settings!$B$4,"coding","critical")))</f>
        <v>simple</v>
      </c>
      <c r="G261" s="3" t="n">
        <f aca="false">INDEX(Prompts!$D$2:$D$200,MATCH($B261,Prompts!$A$2:$A$200,0))</f>
        <v>1</v>
      </c>
      <c r="H261" s="3" t="n">
        <f aca="false">INDEX(Prompts!$E$2:$E$200,MATCH($B261,Prompts!$A$2:$A$200,0))</f>
        <v>2</v>
      </c>
      <c r="I261" s="3" t="n">
        <f aca="false">IF(D261="",0,IF(OR(F261=IF(G261&lt;=Settings!$B$3,"simple",IF(G261&lt;=Settings!$B$4,"coding","critical")),F261=IF(H261&lt;=Settings!$B$3,"simple",IF(H261&lt;=Settings!$B$4,"coding","critical"))),1,0))</f>
        <v>1</v>
      </c>
      <c r="J261" s="3" t="n">
        <f aca="false">IF(D261="",0,IF(AND(D261&gt;=G261,D261&lt;=H261),1,0))</f>
        <v>1</v>
      </c>
      <c r="K261" s="3" t="n">
        <f aca="false">IF(E261=INDEX(Prompts!$F$2:$F$200,MATCH($B261,Prompts!$A$2:$A$200,0)),1,0)</f>
        <v>0</v>
      </c>
      <c r="L261" s="3" t="n">
        <f aca="false">IF(AND(G261&gt;Settings!$B$4,OR(D261="",D261&lt;=Settings!$B$4)),1,0)</f>
        <v>0</v>
      </c>
      <c r="M261" s="3" t="n">
        <v>13.44</v>
      </c>
      <c r="N261" s="3" t="n">
        <v>289</v>
      </c>
      <c r="O261" s="3" t="n">
        <v>400</v>
      </c>
      <c r="P261" s="14" t="n">
        <v>0.001171</v>
      </c>
      <c r="Q261" s="3" t="s">
        <v>180</v>
      </c>
      <c r="R261" s="3"/>
    </row>
    <row r="262" customFormat="false" ht="15" hidden="false" customHeight="false" outlineLevel="0" collapsed="false">
      <c r="A262" s="3" t="s">
        <v>20</v>
      </c>
      <c r="B262" s="3" t="n">
        <v>5</v>
      </c>
      <c r="C262" s="3" t="s">
        <v>183</v>
      </c>
      <c r="D262" s="3" t="n">
        <v>3</v>
      </c>
      <c r="E262" s="3" t="s">
        <v>49</v>
      </c>
      <c r="F262" s="3" t="str">
        <f aca="false">IF(D262="","none",IF(D262&lt;=Settings!$B$3,"simple",IF(D262&lt;=Settings!$B$4,"coding","critical")))</f>
        <v>simple</v>
      </c>
      <c r="G262" s="3" t="n">
        <f aca="false">INDEX(Prompts!$D$2:$D$200,MATCH($B262,Prompts!$A$2:$A$200,0))</f>
        <v>1</v>
      </c>
      <c r="H262" s="3" t="n">
        <f aca="false">INDEX(Prompts!$E$2:$E$200,MATCH($B262,Prompts!$A$2:$A$200,0))</f>
        <v>2</v>
      </c>
      <c r="I262" s="3" t="n">
        <f aca="false">IF(D262="",0,IF(OR(F262=IF(G262&lt;=Settings!$B$3,"simple",IF(G262&lt;=Settings!$B$4,"coding","critical")),F262=IF(H262&lt;=Settings!$B$3,"simple",IF(H262&lt;=Settings!$B$4,"coding","critical"))),1,0))</f>
        <v>1</v>
      </c>
      <c r="J262" s="3" t="n">
        <f aca="false">IF(D262="",0,IF(AND(D262&gt;=G262,D262&lt;=H262),1,0))</f>
        <v>0</v>
      </c>
      <c r="K262" s="3" t="n">
        <f aca="false">IF(E262=INDEX(Prompts!$F$2:$F$200,MATCH($B262,Prompts!$A$2:$A$200,0)),1,0)</f>
        <v>0</v>
      </c>
      <c r="L262" s="3" t="n">
        <f aca="false">IF(AND(G262&gt;Settings!$B$4,OR(D262="",D262&lt;=Settings!$B$4)),1,0)</f>
        <v>0</v>
      </c>
      <c r="M262" s="3" t="n">
        <v>13.87</v>
      </c>
      <c r="N262" s="3" t="n">
        <v>296</v>
      </c>
      <c r="O262" s="3" t="n">
        <v>400</v>
      </c>
      <c r="P262" s="14" t="n">
        <v>0.001183</v>
      </c>
      <c r="Q262" s="3" t="s">
        <v>180</v>
      </c>
      <c r="R262" s="3"/>
    </row>
    <row r="263" customFormat="false" ht="15" hidden="false" customHeight="false" outlineLevel="0" collapsed="false">
      <c r="A263" s="3" t="s">
        <v>20</v>
      </c>
      <c r="B263" s="3" t="n">
        <v>6</v>
      </c>
      <c r="C263" s="3" t="s">
        <v>184</v>
      </c>
      <c r="D263" s="3" t="n">
        <v>1</v>
      </c>
      <c r="E263" s="3" t="s">
        <v>49</v>
      </c>
      <c r="F263" s="3" t="str">
        <f aca="false">IF(D263="","none",IF(D263&lt;=Settings!$B$3,"simple",IF(D263&lt;=Settings!$B$4,"coding","critical")))</f>
        <v>simple</v>
      </c>
      <c r="G263" s="3" t="n">
        <f aca="false">INDEX(Prompts!$D$2:$D$200,MATCH($B263,Prompts!$A$2:$A$200,0))</f>
        <v>1</v>
      </c>
      <c r="H263" s="3" t="n">
        <f aca="false">INDEX(Prompts!$E$2:$E$200,MATCH($B263,Prompts!$A$2:$A$200,0))</f>
        <v>2</v>
      </c>
      <c r="I263" s="3" t="n">
        <f aca="false">IF(D263="",0,IF(OR(F263=IF(G263&lt;=Settings!$B$3,"simple",IF(G263&lt;=Settings!$B$4,"coding","critical")),F263=IF(H263&lt;=Settings!$B$3,"simple",IF(H263&lt;=Settings!$B$4,"coding","critical"))),1,0))</f>
        <v>1</v>
      </c>
      <c r="J263" s="3" t="n">
        <f aca="false">IF(D263="",0,IF(AND(D263&gt;=G263,D263&lt;=H263),1,0))</f>
        <v>1</v>
      </c>
      <c r="K263" s="3" t="n">
        <f aca="false">IF(E263=INDEX(Prompts!$F$2:$F$200,MATCH($B263,Prompts!$A$2:$A$200,0)),1,0)</f>
        <v>1</v>
      </c>
      <c r="L263" s="3" t="n">
        <f aca="false">IF(AND(G263&gt;Settings!$B$4,OR(D263="",D263&lt;=Settings!$B$4)),1,0)</f>
        <v>0</v>
      </c>
      <c r="M263" s="3" t="n">
        <v>14.08</v>
      </c>
      <c r="N263" s="3" t="n">
        <v>289</v>
      </c>
      <c r="O263" s="3" t="n">
        <v>400</v>
      </c>
      <c r="P263" s="14" t="n">
        <v>0.001171</v>
      </c>
      <c r="Q263" s="3" t="s">
        <v>180</v>
      </c>
      <c r="R263" s="3"/>
    </row>
    <row r="264" customFormat="false" ht="15" hidden="false" customHeight="false" outlineLevel="0" collapsed="false">
      <c r="A264" s="3" t="s">
        <v>20</v>
      </c>
      <c r="B264" s="3" t="n">
        <v>7</v>
      </c>
      <c r="C264" s="3" t="s">
        <v>132</v>
      </c>
      <c r="D264" s="3" t="n">
        <v>3</v>
      </c>
      <c r="E264" s="3" t="s">
        <v>49</v>
      </c>
      <c r="F264" s="3" t="str">
        <f aca="false">IF(D264="","none",IF(D264&lt;=Settings!$B$3,"simple",IF(D264&lt;=Settings!$B$4,"coding","critical")))</f>
        <v>simple</v>
      </c>
      <c r="G264" s="3" t="n">
        <f aca="false">INDEX(Prompts!$D$2:$D$200,MATCH($B264,Prompts!$A$2:$A$200,0))</f>
        <v>1</v>
      </c>
      <c r="H264" s="3" t="n">
        <f aca="false">INDEX(Prompts!$E$2:$E$200,MATCH($B264,Prompts!$A$2:$A$200,0))</f>
        <v>3</v>
      </c>
      <c r="I264" s="3" t="n">
        <f aca="false">IF(D264="",0,IF(OR(F264=IF(G264&lt;=Settings!$B$3,"simple",IF(G264&lt;=Settings!$B$4,"coding","critical")),F264=IF(H264&lt;=Settings!$B$3,"simple",IF(H264&lt;=Settings!$B$4,"coding","critical"))),1,0))</f>
        <v>1</v>
      </c>
      <c r="J264" s="3" t="n">
        <f aca="false">IF(D264="",0,IF(AND(D264&gt;=G264,D264&lt;=H264),1,0))</f>
        <v>1</v>
      </c>
      <c r="K264" s="3" t="n">
        <f aca="false">IF(E264=INDEX(Prompts!$F$2:$F$200,MATCH($B264,Prompts!$A$2:$A$200,0)),1,0)</f>
        <v>1</v>
      </c>
      <c r="L264" s="3" t="n">
        <f aca="false">IF(AND(G264&gt;Settings!$B$4,OR(D264="",D264&lt;=Settings!$B$4)),1,0)</f>
        <v>0</v>
      </c>
      <c r="M264" s="3" t="n">
        <v>11.36</v>
      </c>
      <c r="N264" s="3" t="n">
        <v>290</v>
      </c>
      <c r="O264" s="3" t="n">
        <v>337</v>
      </c>
      <c r="P264" s="14" t="n">
        <v>0.001066</v>
      </c>
      <c r="Q264" s="3" t="s">
        <v>180</v>
      </c>
      <c r="R264" s="3"/>
    </row>
    <row r="265" customFormat="false" ht="15" hidden="false" customHeight="false" outlineLevel="0" collapsed="false">
      <c r="A265" s="3" t="s">
        <v>20</v>
      </c>
      <c r="B265" s="3" t="n">
        <v>8</v>
      </c>
      <c r="C265" s="3" t="s">
        <v>132</v>
      </c>
      <c r="D265" s="3" t="n">
        <v>3</v>
      </c>
      <c r="E265" s="3" t="s">
        <v>49</v>
      </c>
      <c r="F265" s="3" t="str">
        <f aca="false">IF(D265="","none",IF(D265&lt;=Settings!$B$3,"simple",IF(D265&lt;=Settings!$B$4,"coding","critical")))</f>
        <v>simple</v>
      </c>
      <c r="G265" s="3" t="n">
        <f aca="false">INDEX(Prompts!$D$2:$D$200,MATCH($B265,Prompts!$A$2:$A$200,0))</f>
        <v>2</v>
      </c>
      <c r="H265" s="3" t="n">
        <f aca="false">INDEX(Prompts!$E$2:$E$200,MATCH($B265,Prompts!$A$2:$A$200,0))</f>
        <v>3</v>
      </c>
      <c r="I265" s="3" t="n">
        <f aca="false">IF(D265="",0,IF(OR(F265=IF(G265&lt;=Settings!$B$3,"simple",IF(G265&lt;=Settings!$B$4,"coding","critical")),F265=IF(H265&lt;=Settings!$B$3,"simple",IF(H265&lt;=Settings!$B$4,"coding","critical"))),1,0))</f>
        <v>1</v>
      </c>
      <c r="J265" s="3" t="n">
        <f aca="false">IF(D265="",0,IF(AND(D265&gt;=G265,D265&lt;=H265),1,0))</f>
        <v>1</v>
      </c>
      <c r="K265" s="3" t="n">
        <f aca="false">IF(E265=INDEX(Prompts!$F$2:$F$200,MATCH($B265,Prompts!$A$2:$A$200,0)),1,0)</f>
        <v>1</v>
      </c>
      <c r="L265" s="3" t="n">
        <f aca="false">IF(AND(G265&gt;Settings!$B$4,OR(D265="",D265&lt;=Settings!$B$4)),1,0)</f>
        <v>0</v>
      </c>
      <c r="M265" s="3" t="n">
        <v>4.23</v>
      </c>
      <c r="N265" s="3" t="n">
        <v>293</v>
      </c>
      <c r="O265" s="3" t="n">
        <v>110</v>
      </c>
      <c r="P265" s="14" t="n">
        <v>0.000685</v>
      </c>
      <c r="Q265" s="3" t="s">
        <v>180</v>
      </c>
      <c r="R265" s="3"/>
    </row>
    <row r="266" customFormat="false" ht="15" hidden="false" customHeight="false" outlineLevel="0" collapsed="false">
      <c r="A266" s="3" t="s">
        <v>20</v>
      </c>
      <c r="B266" s="3" t="n">
        <v>9</v>
      </c>
      <c r="C266" s="3" t="s">
        <v>132</v>
      </c>
      <c r="D266" s="3" t="n">
        <v>3</v>
      </c>
      <c r="E266" s="3" t="s">
        <v>49</v>
      </c>
      <c r="F266" s="3" t="str">
        <f aca="false">IF(D266="","none",IF(D266&lt;=Settings!$B$3,"simple",IF(D266&lt;=Settings!$B$4,"coding","critical")))</f>
        <v>simple</v>
      </c>
      <c r="G266" s="3" t="n">
        <f aca="false">INDEX(Prompts!$D$2:$D$200,MATCH($B266,Prompts!$A$2:$A$200,0))</f>
        <v>2</v>
      </c>
      <c r="H266" s="3" t="n">
        <f aca="false">INDEX(Prompts!$E$2:$E$200,MATCH($B266,Prompts!$A$2:$A$200,0))</f>
        <v>3</v>
      </c>
      <c r="I266" s="3" t="n">
        <f aca="false">IF(D266="",0,IF(OR(F266=IF(G266&lt;=Settings!$B$3,"simple",IF(G266&lt;=Settings!$B$4,"coding","critical")),F266=IF(H266&lt;=Settings!$B$3,"simple",IF(H266&lt;=Settings!$B$4,"coding","critical"))),1,0))</f>
        <v>1</v>
      </c>
      <c r="J266" s="3" t="n">
        <f aca="false">IF(D266="",0,IF(AND(D266&gt;=G266,D266&lt;=H266),1,0))</f>
        <v>1</v>
      </c>
      <c r="K266" s="3" t="n">
        <f aca="false">IF(E266=INDEX(Prompts!$F$2:$F$200,MATCH($B266,Prompts!$A$2:$A$200,0)),1,0)</f>
        <v>1</v>
      </c>
      <c r="L266" s="3" t="n">
        <f aca="false">IF(AND(G266&gt;Settings!$B$4,OR(D266="",D266&lt;=Settings!$B$4)),1,0)</f>
        <v>0</v>
      </c>
      <c r="M266" s="3" t="n">
        <v>3.4</v>
      </c>
      <c r="N266" s="3" t="n">
        <v>34</v>
      </c>
      <c r="O266" s="3" t="n">
        <v>90</v>
      </c>
      <c r="P266" s="14" t="n">
        <v>0.000254</v>
      </c>
      <c r="Q266" s="3" t="s">
        <v>180</v>
      </c>
      <c r="R266" s="3"/>
    </row>
    <row r="267" customFormat="false" ht="15" hidden="false" customHeight="false" outlineLevel="0" collapsed="false">
      <c r="A267" s="3" t="s">
        <v>20</v>
      </c>
      <c r="B267" s="3" t="n">
        <v>10</v>
      </c>
      <c r="C267" s="3" t="s">
        <v>132</v>
      </c>
      <c r="D267" s="3" t="n">
        <v>3</v>
      </c>
      <c r="E267" s="3" t="s">
        <v>49</v>
      </c>
      <c r="F267" s="3" t="str">
        <f aca="false">IF(D267="","none",IF(D267&lt;=Settings!$B$3,"simple",IF(D267&lt;=Settings!$B$4,"coding","critical")))</f>
        <v>simple</v>
      </c>
      <c r="G267" s="3" t="n">
        <f aca="false">INDEX(Prompts!$D$2:$D$200,MATCH($B267,Prompts!$A$2:$A$200,0))</f>
        <v>2</v>
      </c>
      <c r="H267" s="3" t="n">
        <f aca="false">INDEX(Prompts!$E$2:$E$200,MATCH($B267,Prompts!$A$2:$A$200,0))</f>
        <v>3</v>
      </c>
      <c r="I267" s="3" t="n">
        <f aca="false">IF(D267="",0,IF(OR(F267=IF(G267&lt;=Settings!$B$3,"simple",IF(G267&lt;=Settings!$B$4,"coding","critical")),F267=IF(H267&lt;=Settings!$B$3,"simple",IF(H267&lt;=Settings!$B$4,"coding","critical"))),1,0))</f>
        <v>1</v>
      </c>
      <c r="J267" s="3" t="n">
        <f aca="false">IF(D267="",0,IF(AND(D267&gt;=G267,D267&lt;=H267),1,0))</f>
        <v>1</v>
      </c>
      <c r="K267" s="3" t="n">
        <f aca="false">IF(E267=INDEX(Prompts!$F$2:$F$200,MATCH($B267,Prompts!$A$2:$A$200,0)),1,0)</f>
        <v>1</v>
      </c>
      <c r="L267" s="3" t="n">
        <f aca="false">IF(AND(G267&gt;Settings!$B$4,OR(D267="",D267&lt;=Settings!$B$4)),1,0)</f>
        <v>0</v>
      </c>
      <c r="M267" s="3" t="n">
        <v>3.1</v>
      </c>
      <c r="N267" s="3" t="n">
        <v>33</v>
      </c>
      <c r="O267" s="3" t="n">
        <v>87</v>
      </c>
      <c r="P267" s="14" t="n">
        <v>0.000248</v>
      </c>
      <c r="Q267" s="3" t="s">
        <v>180</v>
      </c>
      <c r="R267" s="3"/>
    </row>
    <row r="268" customFormat="false" ht="15" hidden="false" customHeight="false" outlineLevel="0" collapsed="false">
      <c r="A268" s="3" t="s">
        <v>20</v>
      </c>
      <c r="B268" s="3" t="n">
        <v>11</v>
      </c>
      <c r="C268" s="3" t="s">
        <v>127</v>
      </c>
      <c r="D268" s="3" t="n">
        <v>1</v>
      </c>
      <c r="E268" s="3" t="s">
        <v>69</v>
      </c>
      <c r="F268" s="3" t="str">
        <f aca="false">IF(D268="","none",IF(D268&lt;=Settings!$B$3,"simple",IF(D268&lt;=Settings!$B$4,"coding","critical")))</f>
        <v>simple</v>
      </c>
      <c r="G268" s="3" t="n">
        <f aca="false">INDEX(Prompts!$D$2:$D$200,MATCH($B268,Prompts!$A$2:$A$200,0))</f>
        <v>1</v>
      </c>
      <c r="H268" s="3" t="n">
        <f aca="false">INDEX(Prompts!$E$2:$E$200,MATCH($B268,Prompts!$A$2:$A$200,0))</f>
        <v>3</v>
      </c>
      <c r="I268" s="3" t="n">
        <f aca="false">IF(D268="",0,IF(OR(F268=IF(G268&lt;=Settings!$B$3,"simple",IF(G268&lt;=Settings!$B$4,"coding","critical")),F268=IF(H268&lt;=Settings!$B$3,"simple",IF(H268&lt;=Settings!$B$4,"coding","critical"))),1,0))</f>
        <v>1</v>
      </c>
      <c r="J268" s="3" t="n">
        <f aca="false">IF(D268="",0,IF(AND(D268&gt;=G268,D268&lt;=H268),1,0))</f>
        <v>1</v>
      </c>
      <c r="K268" s="3" t="n">
        <f aca="false">IF(E268=INDEX(Prompts!$F$2:$F$200,MATCH($B268,Prompts!$A$2:$A$200,0)),1,0)</f>
        <v>1</v>
      </c>
      <c r="L268" s="3" t="n">
        <f aca="false">IF(AND(G268&gt;Settings!$B$4,OR(D268="",D268&lt;=Settings!$B$4)),1,0)</f>
        <v>0</v>
      </c>
      <c r="M268" s="3" t="n">
        <v>3.97</v>
      </c>
      <c r="N268" s="3" t="n">
        <v>32</v>
      </c>
      <c r="O268" s="3" t="n">
        <v>116</v>
      </c>
      <c r="P268" s="14" t="n">
        <v>0.000295</v>
      </c>
      <c r="Q268" s="3" t="s">
        <v>180</v>
      </c>
      <c r="R268" s="3"/>
    </row>
    <row r="269" customFormat="false" ht="15" hidden="false" customHeight="false" outlineLevel="0" collapsed="false">
      <c r="A269" s="3" t="s">
        <v>20</v>
      </c>
      <c r="B269" s="3" t="n">
        <v>12</v>
      </c>
      <c r="C269" s="3" t="s">
        <v>185</v>
      </c>
      <c r="D269" s="3" t="n">
        <v>4</v>
      </c>
      <c r="E269" s="3" t="s">
        <v>69</v>
      </c>
      <c r="F269" s="3" t="str">
        <f aca="false">IF(D269="","none",IF(D269&lt;=Settings!$B$3,"simple",IF(D269&lt;=Settings!$B$4,"coding","critical")))</f>
        <v>coding</v>
      </c>
      <c r="G269" s="3" t="n">
        <f aca="false">INDEX(Prompts!$D$2:$D$200,MATCH($B269,Prompts!$A$2:$A$200,0))</f>
        <v>2</v>
      </c>
      <c r="H269" s="3" t="n">
        <f aca="false">INDEX(Prompts!$E$2:$E$200,MATCH($B269,Prompts!$A$2:$A$200,0))</f>
        <v>4</v>
      </c>
      <c r="I269" s="3" t="n">
        <f aca="false">IF(D269="",0,IF(OR(F269=IF(G269&lt;=Settings!$B$3,"simple",IF(G269&lt;=Settings!$B$4,"coding","critical")),F269=IF(H269&lt;=Settings!$B$3,"simple",IF(H269&lt;=Settings!$B$4,"coding","critical"))),1,0))</f>
        <v>1</v>
      </c>
      <c r="J269" s="3" t="n">
        <f aca="false">IF(D269="",0,IF(AND(D269&gt;=G269,D269&lt;=H269),1,0))</f>
        <v>1</v>
      </c>
      <c r="K269" s="3" t="n">
        <f aca="false">IF(E269=INDEX(Prompts!$F$2:$F$200,MATCH($B269,Prompts!$A$2:$A$200,0)),1,0)</f>
        <v>1</v>
      </c>
      <c r="L269" s="3" t="n">
        <f aca="false">IF(AND(G269&gt;Settings!$B$4,OR(D269="",D269&lt;=Settings!$B$4)),1,0)</f>
        <v>0</v>
      </c>
      <c r="M269" s="3" t="n">
        <v>6.17</v>
      </c>
      <c r="N269" s="3" t="n">
        <v>34</v>
      </c>
      <c r="O269" s="3" t="n">
        <v>167</v>
      </c>
      <c r="P269" s="14" t="n">
        <v>0.000385</v>
      </c>
      <c r="Q269" s="3" t="s">
        <v>180</v>
      </c>
      <c r="R269" s="3"/>
    </row>
    <row r="270" customFormat="false" ht="15" hidden="false" customHeight="false" outlineLevel="0" collapsed="false">
      <c r="A270" s="3" t="s">
        <v>20</v>
      </c>
      <c r="B270" s="3" t="n">
        <v>13</v>
      </c>
      <c r="C270" s="3" t="s">
        <v>154</v>
      </c>
      <c r="D270" s="3" t="n">
        <v>4</v>
      </c>
      <c r="E270" s="3" t="s">
        <v>49</v>
      </c>
      <c r="F270" s="3" t="str">
        <f aca="false">IF(D270="","none",IF(D270&lt;=Settings!$B$3,"simple",IF(D270&lt;=Settings!$B$4,"coding","critical")))</f>
        <v>coding</v>
      </c>
      <c r="G270" s="3" t="n">
        <f aca="false">INDEX(Prompts!$D$2:$D$200,MATCH($B270,Prompts!$A$2:$A$200,0))</f>
        <v>3</v>
      </c>
      <c r="H270" s="3" t="n">
        <f aca="false">INDEX(Prompts!$E$2:$E$200,MATCH($B270,Prompts!$A$2:$A$200,0))</f>
        <v>4</v>
      </c>
      <c r="I270" s="3" t="n">
        <f aca="false">IF(D270="",0,IF(OR(F270=IF(G270&lt;=Settings!$B$3,"simple",IF(G270&lt;=Settings!$B$4,"coding","critical")),F270=IF(H270&lt;=Settings!$B$3,"simple",IF(H270&lt;=Settings!$B$4,"coding","critical"))),1,0))</f>
        <v>1</v>
      </c>
      <c r="J270" s="3" t="n">
        <f aca="false">IF(D270="",0,IF(AND(D270&gt;=G270,D270&lt;=H270),1,0))</f>
        <v>1</v>
      </c>
      <c r="K270" s="3" t="n">
        <f aca="false">IF(E270=INDEX(Prompts!$F$2:$F$200,MATCH($B270,Prompts!$A$2:$A$200,0)),1,0)</f>
        <v>1</v>
      </c>
      <c r="L270" s="3" t="n">
        <f aca="false">IF(AND(G270&gt;Settings!$B$4,OR(D270="",D270&lt;=Settings!$B$4)),1,0)</f>
        <v>0</v>
      </c>
      <c r="M270" s="3" t="n">
        <v>2.96</v>
      </c>
      <c r="N270" s="3" t="n">
        <v>37</v>
      </c>
      <c r="O270" s="3" t="n">
        <v>57</v>
      </c>
      <c r="P270" s="14" t="n">
        <v>0.000203</v>
      </c>
      <c r="Q270" s="3" t="s">
        <v>180</v>
      </c>
      <c r="R270" s="3"/>
    </row>
    <row r="271" customFormat="false" ht="15" hidden="false" customHeight="false" outlineLevel="0" collapsed="false">
      <c r="A271" s="3" t="s">
        <v>20</v>
      </c>
      <c r="B271" s="3" t="n">
        <v>14</v>
      </c>
      <c r="C271" s="3" t="s">
        <v>130</v>
      </c>
      <c r="D271" s="3" t="n">
        <v>2</v>
      </c>
      <c r="E271" s="3" t="s">
        <v>53</v>
      </c>
      <c r="F271" s="3" t="str">
        <f aca="false">IF(D271="","none",IF(D271&lt;=Settings!$B$3,"simple",IF(D271&lt;=Settings!$B$4,"coding","critical")))</f>
        <v>simple</v>
      </c>
      <c r="G271" s="3" t="n">
        <f aca="false">INDEX(Prompts!$D$2:$D$200,MATCH($B271,Prompts!$A$2:$A$200,0))</f>
        <v>2</v>
      </c>
      <c r="H271" s="3" t="n">
        <f aca="false">INDEX(Prompts!$E$2:$E$200,MATCH($B271,Prompts!$A$2:$A$200,0))</f>
        <v>4</v>
      </c>
      <c r="I271" s="3" t="n">
        <f aca="false">IF(D271="",0,IF(OR(F271=IF(G271&lt;=Settings!$B$3,"simple",IF(G271&lt;=Settings!$B$4,"coding","critical")),F271=IF(H271&lt;=Settings!$B$3,"simple",IF(H271&lt;=Settings!$B$4,"coding","critical"))),1,0))</f>
        <v>1</v>
      </c>
      <c r="J271" s="3" t="n">
        <f aca="false">IF(D271="",0,IF(AND(D271&gt;=G271,D271&lt;=H271),1,0))</f>
        <v>1</v>
      </c>
      <c r="K271" s="3" t="n">
        <f aca="false">IF(E271=INDEX(Prompts!$F$2:$F$200,MATCH($B271,Prompts!$A$2:$A$200,0)),1,0)</f>
        <v>1</v>
      </c>
      <c r="L271" s="3" t="n">
        <f aca="false">IF(AND(G271&gt;Settings!$B$4,OR(D271="",D271&lt;=Settings!$B$4)),1,0)</f>
        <v>0</v>
      </c>
      <c r="M271" s="3" t="n">
        <v>7.13</v>
      </c>
      <c r="N271" s="3" t="n">
        <v>36</v>
      </c>
      <c r="O271" s="3" t="n">
        <v>198</v>
      </c>
      <c r="P271" s="14" t="n">
        <v>0.000441</v>
      </c>
      <c r="Q271" s="3" t="s">
        <v>180</v>
      </c>
      <c r="R271" s="3"/>
    </row>
    <row r="272" customFormat="false" ht="15" hidden="false" customHeight="false" outlineLevel="0" collapsed="false">
      <c r="A272" s="3" t="s">
        <v>20</v>
      </c>
      <c r="B272" s="3" t="n">
        <v>15</v>
      </c>
      <c r="C272" s="3" t="s">
        <v>132</v>
      </c>
      <c r="D272" s="3" t="n">
        <v>3</v>
      </c>
      <c r="E272" s="3" t="s">
        <v>49</v>
      </c>
      <c r="F272" s="3" t="str">
        <f aca="false">IF(D272="","none",IF(D272&lt;=Settings!$B$3,"simple",IF(D272&lt;=Settings!$B$4,"coding","critical")))</f>
        <v>simple</v>
      </c>
      <c r="G272" s="3" t="n">
        <f aca="false">INDEX(Prompts!$D$2:$D$200,MATCH($B272,Prompts!$A$2:$A$200,0))</f>
        <v>3</v>
      </c>
      <c r="H272" s="3" t="n">
        <f aca="false">INDEX(Prompts!$E$2:$E$200,MATCH($B272,Prompts!$A$2:$A$200,0))</f>
        <v>5</v>
      </c>
      <c r="I272" s="3" t="n">
        <f aca="false">IF(D272="",0,IF(OR(F272=IF(G272&lt;=Settings!$B$3,"simple",IF(G272&lt;=Settings!$B$4,"coding","critical")),F272=IF(H272&lt;=Settings!$B$3,"simple",IF(H272&lt;=Settings!$B$4,"coding","critical"))),1,0))</f>
        <v>1</v>
      </c>
      <c r="J272" s="3" t="n">
        <f aca="false">IF(D272="",0,IF(AND(D272&gt;=G272,D272&lt;=H272),1,0))</f>
        <v>1</v>
      </c>
      <c r="K272" s="3" t="n">
        <f aca="false">IF(E272=INDEX(Prompts!$F$2:$F$200,MATCH($B272,Prompts!$A$2:$A$200,0)),1,0)</f>
        <v>1</v>
      </c>
      <c r="L272" s="3" t="n">
        <f aca="false">IF(AND(G272&gt;Settings!$B$4,OR(D272="",D272&lt;=Settings!$B$4)),1,0)</f>
        <v>0</v>
      </c>
      <c r="M272" s="3" t="n">
        <v>6.28</v>
      </c>
      <c r="N272" s="3" t="n">
        <v>42</v>
      </c>
      <c r="O272" s="3" t="n">
        <v>183</v>
      </c>
      <c r="P272" s="14" t="n">
        <v>0.000426</v>
      </c>
      <c r="Q272" s="3" t="s">
        <v>180</v>
      </c>
      <c r="R272" s="3"/>
    </row>
    <row r="273" customFormat="false" ht="15" hidden="false" customHeight="false" outlineLevel="0" collapsed="false">
      <c r="A273" s="3" t="s">
        <v>20</v>
      </c>
      <c r="B273" s="3" t="n">
        <v>16</v>
      </c>
      <c r="C273" s="3" t="s">
        <v>132</v>
      </c>
      <c r="D273" s="3" t="n">
        <v>3</v>
      </c>
      <c r="E273" s="3" t="s">
        <v>49</v>
      </c>
      <c r="F273" s="3" t="str">
        <f aca="false">IF(D273="","none",IF(D273&lt;=Settings!$B$3,"simple",IF(D273&lt;=Settings!$B$4,"coding","critical")))</f>
        <v>simple</v>
      </c>
      <c r="G273" s="3" t="n">
        <f aca="false">INDEX(Prompts!$D$2:$D$200,MATCH($B273,Prompts!$A$2:$A$200,0))</f>
        <v>3</v>
      </c>
      <c r="H273" s="3" t="n">
        <f aca="false">INDEX(Prompts!$E$2:$E$200,MATCH($B273,Prompts!$A$2:$A$200,0))</f>
        <v>5</v>
      </c>
      <c r="I273" s="3" t="n">
        <f aca="false">IF(D273="",0,IF(OR(F273=IF(G273&lt;=Settings!$B$3,"simple",IF(G273&lt;=Settings!$B$4,"coding","critical")),F273=IF(H273&lt;=Settings!$B$3,"simple",IF(H273&lt;=Settings!$B$4,"coding","critical"))),1,0))</f>
        <v>1</v>
      </c>
      <c r="J273" s="3" t="n">
        <f aca="false">IF(D273="",0,IF(AND(D273&gt;=G273,D273&lt;=H273),1,0))</f>
        <v>1</v>
      </c>
      <c r="K273" s="3" t="n">
        <f aca="false">IF(E273=INDEX(Prompts!$F$2:$F$200,MATCH($B273,Prompts!$A$2:$A$200,0)),1,0)</f>
        <v>1</v>
      </c>
      <c r="L273" s="3" t="n">
        <f aca="false">IF(AND(G273&gt;Settings!$B$4,OR(D273="",D273&lt;=Settings!$B$4)),1,0)</f>
        <v>0</v>
      </c>
      <c r="M273" s="3" t="n">
        <v>4.74</v>
      </c>
      <c r="N273" s="3" t="n">
        <v>44</v>
      </c>
      <c r="O273" s="3" t="n">
        <v>140</v>
      </c>
      <c r="P273" s="14" t="n">
        <v>0.000356</v>
      </c>
      <c r="Q273" s="3" t="s">
        <v>180</v>
      </c>
      <c r="R273" s="3"/>
    </row>
    <row r="274" customFormat="false" ht="15" hidden="false" customHeight="false" outlineLevel="0" collapsed="false">
      <c r="A274" s="3" t="s">
        <v>20</v>
      </c>
      <c r="B274" s="3" t="n">
        <v>17</v>
      </c>
      <c r="C274" s="3" t="s">
        <v>154</v>
      </c>
      <c r="D274" s="3" t="n">
        <v>4</v>
      </c>
      <c r="E274" s="3" t="s">
        <v>49</v>
      </c>
      <c r="F274" s="3" t="str">
        <f aca="false">IF(D274="","none",IF(D274&lt;=Settings!$B$3,"simple",IF(D274&lt;=Settings!$B$4,"coding","critical")))</f>
        <v>coding</v>
      </c>
      <c r="G274" s="3" t="n">
        <f aca="false">INDEX(Prompts!$D$2:$D$200,MATCH($B274,Prompts!$A$2:$A$200,0))</f>
        <v>3</v>
      </c>
      <c r="H274" s="3" t="n">
        <f aca="false">INDEX(Prompts!$E$2:$E$200,MATCH($B274,Prompts!$A$2:$A$200,0))</f>
        <v>5</v>
      </c>
      <c r="I274" s="3" t="n">
        <f aca="false">IF(D274="",0,IF(OR(F274=IF(G274&lt;=Settings!$B$3,"simple",IF(G274&lt;=Settings!$B$4,"coding","critical")),F274=IF(H274&lt;=Settings!$B$3,"simple",IF(H274&lt;=Settings!$B$4,"coding","critical"))),1,0))</f>
        <v>1</v>
      </c>
      <c r="J274" s="3" t="n">
        <f aca="false">IF(D274="",0,IF(AND(D274&gt;=G274,D274&lt;=H274),1,0))</f>
        <v>1</v>
      </c>
      <c r="K274" s="3" t="n">
        <f aca="false">IF(E274=INDEX(Prompts!$F$2:$F$200,MATCH($B274,Prompts!$A$2:$A$200,0)),1,0)</f>
        <v>0</v>
      </c>
      <c r="L274" s="3" t="n">
        <f aca="false">IF(AND(G274&gt;Settings!$B$4,OR(D274="",D274&lt;=Settings!$B$4)),1,0)</f>
        <v>0</v>
      </c>
      <c r="M274" s="3" t="n">
        <v>2.83</v>
      </c>
      <c r="N274" s="3" t="n">
        <v>39</v>
      </c>
      <c r="O274" s="3" t="n">
        <v>71</v>
      </c>
      <c r="P274" s="14" t="n">
        <v>0.000231</v>
      </c>
      <c r="Q274" s="3" t="s">
        <v>180</v>
      </c>
      <c r="R274" s="3"/>
    </row>
    <row r="275" customFormat="false" ht="15" hidden="false" customHeight="false" outlineLevel="0" collapsed="false">
      <c r="A275" s="3" t="s">
        <v>20</v>
      </c>
      <c r="B275" s="3" t="n">
        <v>18</v>
      </c>
      <c r="C275" s="3" t="s">
        <v>154</v>
      </c>
      <c r="D275" s="3" t="n">
        <v>4</v>
      </c>
      <c r="E275" s="3" t="s">
        <v>49</v>
      </c>
      <c r="F275" s="3" t="str">
        <f aca="false">IF(D275="","none",IF(D275&lt;=Settings!$B$3,"simple",IF(D275&lt;=Settings!$B$4,"coding","critical")))</f>
        <v>coding</v>
      </c>
      <c r="G275" s="3" t="n">
        <f aca="false">INDEX(Prompts!$D$2:$D$200,MATCH($B275,Prompts!$A$2:$A$200,0))</f>
        <v>4</v>
      </c>
      <c r="H275" s="3" t="n">
        <f aca="false">INDEX(Prompts!$E$2:$E$200,MATCH($B275,Prompts!$A$2:$A$200,0))</f>
        <v>6</v>
      </c>
      <c r="I275" s="3" t="n">
        <f aca="false">IF(D275="",0,IF(OR(F275=IF(G275&lt;=Settings!$B$3,"simple",IF(G275&lt;=Settings!$B$4,"coding","critical")),F275=IF(H275&lt;=Settings!$B$3,"simple",IF(H275&lt;=Settings!$B$4,"coding","critical"))),1,0))</f>
        <v>1</v>
      </c>
      <c r="J275" s="3" t="n">
        <f aca="false">IF(D275="",0,IF(AND(D275&gt;=G275,D275&lt;=H275),1,0))</f>
        <v>1</v>
      </c>
      <c r="K275" s="3" t="n">
        <f aca="false">IF(E275=INDEX(Prompts!$F$2:$F$200,MATCH($B275,Prompts!$A$2:$A$200,0)),1,0)</f>
        <v>1</v>
      </c>
      <c r="L275" s="3" t="n">
        <f aca="false">IF(AND(G275&gt;Settings!$B$4,OR(D275="",D275&lt;=Settings!$B$4)),1,0)</f>
        <v>0</v>
      </c>
      <c r="M275" s="3" t="n">
        <v>10.49</v>
      </c>
      <c r="N275" s="3" t="n">
        <v>46</v>
      </c>
      <c r="O275" s="3" t="n">
        <v>358</v>
      </c>
      <c r="P275" s="14" t="n">
        <v>0.00073</v>
      </c>
      <c r="Q275" s="3" t="s">
        <v>180</v>
      </c>
      <c r="R275" s="3"/>
    </row>
    <row r="276" customFormat="false" ht="15" hidden="false" customHeight="false" outlineLevel="0" collapsed="false">
      <c r="A276" s="3" t="s">
        <v>20</v>
      </c>
      <c r="B276" s="3" t="n">
        <v>19</v>
      </c>
      <c r="C276" s="3" t="s">
        <v>186</v>
      </c>
      <c r="D276" s="3" t="n">
        <v>1</v>
      </c>
      <c r="E276" s="3" t="s">
        <v>49</v>
      </c>
      <c r="F276" s="3" t="str">
        <f aca="false">IF(D276="","none",IF(D276&lt;=Settings!$B$3,"simple",IF(D276&lt;=Settings!$B$4,"coding","critical")))</f>
        <v>simple</v>
      </c>
      <c r="G276" s="3" t="n">
        <f aca="false">INDEX(Prompts!$D$2:$D$200,MATCH($B276,Prompts!$A$2:$A$200,0))</f>
        <v>4</v>
      </c>
      <c r="H276" s="3" t="n">
        <f aca="false">INDEX(Prompts!$E$2:$E$200,MATCH($B276,Prompts!$A$2:$A$200,0))</f>
        <v>6</v>
      </c>
      <c r="I276" s="3" t="n">
        <f aca="false">IF(D276="",0,IF(OR(F276=IF(G276&lt;=Settings!$B$3,"simple",IF(G276&lt;=Settings!$B$4,"coding","critical")),F276=IF(H276&lt;=Settings!$B$3,"simple",IF(H276&lt;=Settings!$B$4,"coding","critical"))),1,0))</f>
        <v>0</v>
      </c>
      <c r="J276" s="3" t="n">
        <f aca="false">IF(D276="",0,IF(AND(D276&gt;=G276,D276&lt;=H276),1,0))</f>
        <v>0</v>
      </c>
      <c r="K276" s="3" t="n">
        <f aca="false">IF(E276=INDEX(Prompts!$F$2:$F$200,MATCH($B276,Prompts!$A$2:$A$200,0)),1,0)</f>
        <v>1</v>
      </c>
      <c r="L276" s="3" t="n">
        <f aca="false">IF(AND(G276&gt;Settings!$B$4,OR(D276="",D276&lt;=Settings!$B$4)),1,0)</f>
        <v>0</v>
      </c>
      <c r="M276" s="3" t="n">
        <v>12.05</v>
      </c>
      <c r="N276" s="3" t="n">
        <v>43</v>
      </c>
      <c r="O276" s="3" t="n">
        <v>400</v>
      </c>
      <c r="P276" s="14" t="n">
        <v>0.000797</v>
      </c>
      <c r="Q276" s="3" t="s">
        <v>180</v>
      </c>
      <c r="R276" s="3"/>
    </row>
    <row r="277" customFormat="false" ht="15" hidden="false" customHeight="false" outlineLevel="0" collapsed="false">
      <c r="A277" s="3" t="s">
        <v>20</v>
      </c>
      <c r="B277" s="3" t="n">
        <v>20</v>
      </c>
      <c r="C277" s="3" t="s">
        <v>140</v>
      </c>
      <c r="D277" s="3" t="n">
        <v>6</v>
      </c>
      <c r="E277" s="3" t="s">
        <v>49</v>
      </c>
      <c r="F277" s="3" t="str">
        <f aca="false">IF(D277="","none",IF(D277&lt;=Settings!$B$3,"simple",IF(D277&lt;=Settings!$B$4,"coding","critical")))</f>
        <v>coding</v>
      </c>
      <c r="G277" s="3" t="n">
        <f aca="false">INDEX(Prompts!$D$2:$D$200,MATCH($B277,Prompts!$A$2:$A$200,0))</f>
        <v>4</v>
      </c>
      <c r="H277" s="3" t="n">
        <f aca="false">INDEX(Prompts!$E$2:$E$200,MATCH($B277,Prompts!$A$2:$A$200,0))</f>
        <v>6</v>
      </c>
      <c r="I277" s="3" t="n">
        <f aca="false">IF(D277="",0,IF(OR(F277=IF(G277&lt;=Settings!$B$3,"simple",IF(G277&lt;=Settings!$B$4,"coding","critical")),F277=IF(H277&lt;=Settings!$B$3,"simple",IF(H277&lt;=Settings!$B$4,"coding","critical"))),1,0))</f>
        <v>1</v>
      </c>
      <c r="J277" s="3" t="n">
        <f aca="false">IF(D277="",0,IF(AND(D277&gt;=G277,D277&lt;=H277),1,0))</f>
        <v>1</v>
      </c>
      <c r="K277" s="3" t="n">
        <f aca="false">IF(E277=INDEX(Prompts!$F$2:$F$200,MATCH($B277,Prompts!$A$2:$A$200,0)),1,0)</f>
        <v>1</v>
      </c>
      <c r="L277" s="3" t="n">
        <f aca="false">IF(AND(G277&gt;Settings!$B$4,OR(D277="",D277&lt;=Settings!$B$4)),1,0)</f>
        <v>0</v>
      </c>
      <c r="M277" s="3" t="n">
        <v>3.63</v>
      </c>
      <c r="N277" s="3" t="n">
        <v>39</v>
      </c>
      <c r="O277" s="3" t="n">
        <v>85</v>
      </c>
      <c r="P277" s="14" t="n">
        <v>0.000254</v>
      </c>
      <c r="Q277" s="3" t="s">
        <v>180</v>
      </c>
      <c r="R277" s="3"/>
    </row>
    <row r="278" customFormat="false" ht="15" hidden="false" customHeight="false" outlineLevel="0" collapsed="false">
      <c r="A278" s="3" t="s">
        <v>20</v>
      </c>
      <c r="B278" s="3" t="n">
        <v>21</v>
      </c>
      <c r="C278" s="3" t="s">
        <v>187</v>
      </c>
      <c r="D278" s="3" t="n">
        <v>8</v>
      </c>
      <c r="E278" s="3" t="s">
        <v>56</v>
      </c>
      <c r="F278" s="3" t="str">
        <f aca="false">IF(D278="","none",IF(D278&lt;=Settings!$B$3,"simple",IF(D278&lt;=Settings!$B$4,"coding","critical")))</f>
        <v>critical</v>
      </c>
      <c r="G278" s="3" t="n">
        <f aca="false">INDEX(Prompts!$D$2:$D$200,MATCH($B278,Prompts!$A$2:$A$200,0))</f>
        <v>3</v>
      </c>
      <c r="H278" s="3" t="n">
        <f aca="false">INDEX(Prompts!$E$2:$E$200,MATCH($B278,Prompts!$A$2:$A$200,0))</f>
        <v>5</v>
      </c>
      <c r="I278" s="3" t="n">
        <f aca="false">IF(D278="",0,IF(OR(F278=IF(G278&lt;=Settings!$B$3,"simple",IF(G278&lt;=Settings!$B$4,"coding","critical")),F278=IF(H278&lt;=Settings!$B$3,"simple",IF(H278&lt;=Settings!$B$4,"coding","critical"))),1,0))</f>
        <v>0</v>
      </c>
      <c r="J278" s="3" t="n">
        <f aca="false">IF(D278="",0,IF(AND(D278&gt;=G278,D278&lt;=H278),1,0))</f>
        <v>0</v>
      </c>
      <c r="K278" s="3" t="n">
        <f aca="false">IF(E278=INDEX(Prompts!$F$2:$F$200,MATCH($B278,Prompts!$A$2:$A$200,0)),1,0)</f>
        <v>1</v>
      </c>
      <c r="L278" s="3" t="n">
        <f aca="false">IF(AND(G278&gt;Settings!$B$4,OR(D278="",D278&lt;=Settings!$B$4)),1,0)</f>
        <v>0</v>
      </c>
      <c r="M278" s="3" t="n">
        <v>6.81</v>
      </c>
      <c r="N278" s="3" t="n">
        <v>36</v>
      </c>
      <c r="O278" s="3" t="n">
        <v>178</v>
      </c>
      <c r="P278" s="14" t="n">
        <v>0.000407</v>
      </c>
      <c r="Q278" s="3" t="s">
        <v>180</v>
      </c>
      <c r="R278" s="3"/>
    </row>
    <row r="279" customFormat="false" ht="15" hidden="false" customHeight="false" outlineLevel="0" collapsed="false">
      <c r="A279" s="3" t="s">
        <v>20</v>
      </c>
      <c r="B279" s="3" t="n">
        <v>22</v>
      </c>
      <c r="C279" s="3" t="s">
        <v>142</v>
      </c>
      <c r="D279" s="3" t="n">
        <v>6</v>
      </c>
      <c r="E279" s="3" t="s">
        <v>58</v>
      </c>
      <c r="F279" s="3" t="str">
        <f aca="false">IF(D279="","none",IF(D279&lt;=Settings!$B$3,"simple",IF(D279&lt;=Settings!$B$4,"coding","critical")))</f>
        <v>coding</v>
      </c>
      <c r="G279" s="3" t="n">
        <f aca="false">INDEX(Prompts!$D$2:$D$200,MATCH($B279,Prompts!$A$2:$A$200,0))</f>
        <v>4</v>
      </c>
      <c r="H279" s="3" t="n">
        <f aca="false">INDEX(Prompts!$E$2:$E$200,MATCH($B279,Prompts!$A$2:$A$200,0))</f>
        <v>6</v>
      </c>
      <c r="I279" s="3" t="n">
        <f aca="false">IF(D279="",0,IF(OR(F279=IF(G279&lt;=Settings!$B$3,"simple",IF(G279&lt;=Settings!$B$4,"coding","critical")),F279=IF(H279&lt;=Settings!$B$3,"simple",IF(H279&lt;=Settings!$B$4,"coding","critical"))),1,0))</f>
        <v>1</v>
      </c>
      <c r="J279" s="3" t="n">
        <f aca="false">IF(D279="",0,IF(AND(D279&gt;=G279,D279&lt;=H279),1,0))</f>
        <v>1</v>
      </c>
      <c r="K279" s="3" t="n">
        <f aca="false">IF(E279=INDEX(Prompts!$F$2:$F$200,MATCH($B279,Prompts!$A$2:$A$200,0)),1,0)</f>
        <v>1</v>
      </c>
      <c r="L279" s="3" t="n">
        <f aca="false">IF(AND(G279&gt;Settings!$B$4,OR(D279="",D279&lt;=Settings!$B$4)),1,0)</f>
        <v>0</v>
      </c>
      <c r="M279" s="3" t="n">
        <v>9.96</v>
      </c>
      <c r="N279" s="3" t="n">
        <v>37</v>
      </c>
      <c r="O279" s="3" t="n">
        <v>296</v>
      </c>
      <c r="P279" s="14" t="n">
        <v>0.00061</v>
      </c>
      <c r="Q279" s="3" t="s">
        <v>180</v>
      </c>
      <c r="R279" s="3"/>
    </row>
    <row r="280" customFormat="false" ht="15" hidden="false" customHeight="false" outlineLevel="0" collapsed="false">
      <c r="A280" s="3" t="s">
        <v>20</v>
      </c>
      <c r="B280" s="3" t="n">
        <v>23</v>
      </c>
      <c r="C280" s="3" t="s">
        <v>140</v>
      </c>
      <c r="D280" s="3" t="n">
        <v>6</v>
      </c>
      <c r="E280" s="3" t="s">
        <v>49</v>
      </c>
      <c r="F280" s="3" t="str">
        <f aca="false">IF(D280="","none",IF(D280&lt;=Settings!$B$3,"simple",IF(D280&lt;=Settings!$B$4,"coding","critical")))</f>
        <v>coding</v>
      </c>
      <c r="G280" s="3" t="n">
        <f aca="false">INDEX(Prompts!$D$2:$D$200,MATCH($B280,Prompts!$A$2:$A$200,0))</f>
        <v>5</v>
      </c>
      <c r="H280" s="3" t="n">
        <f aca="false">INDEX(Prompts!$E$2:$E$200,MATCH($B280,Prompts!$A$2:$A$200,0))</f>
        <v>6</v>
      </c>
      <c r="I280" s="3" t="n">
        <f aca="false">IF(D280="",0,IF(OR(F280=IF(G280&lt;=Settings!$B$3,"simple",IF(G280&lt;=Settings!$B$4,"coding","critical")),F280=IF(H280&lt;=Settings!$B$3,"simple",IF(H280&lt;=Settings!$B$4,"coding","critical"))),1,0))</f>
        <v>1</v>
      </c>
      <c r="J280" s="3" t="n">
        <f aca="false">IF(D280="",0,IF(AND(D280&gt;=G280,D280&lt;=H280),1,0))</f>
        <v>1</v>
      </c>
      <c r="K280" s="3" t="n">
        <f aca="false">IF(E280=INDEX(Prompts!$F$2:$F$200,MATCH($B280,Prompts!$A$2:$A$200,0)),1,0)</f>
        <v>1</v>
      </c>
      <c r="L280" s="3" t="n">
        <f aca="false">IF(AND(G280&gt;Settings!$B$4,OR(D280="",D280&lt;=Settings!$B$4)),1,0)</f>
        <v>0</v>
      </c>
      <c r="M280" s="3" t="n">
        <v>7.9</v>
      </c>
      <c r="N280" s="3" t="n">
        <v>43</v>
      </c>
      <c r="O280" s="3" t="n">
        <v>161</v>
      </c>
      <c r="P280" s="14" t="n">
        <v>0.00039</v>
      </c>
      <c r="Q280" s="3" t="s">
        <v>180</v>
      </c>
      <c r="R280" s="3"/>
    </row>
    <row r="281" customFormat="false" ht="15" hidden="false" customHeight="false" outlineLevel="0" collapsed="false">
      <c r="A281" s="3" t="s">
        <v>20</v>
      </c>
      <c r="B281" s="3" t="n">
        <v>24</v>
      </c>
      <c r="C281" s="3" t="s">
        <v>140</v>
      </c>
      <c r="D281" s="3" t="n">
        <v>6</v>
      </c>
      <c r="E281" s="3" t="s">
        <v>49</v>
      </c>
      <c r="F281" s="3" t="str">
        <f aca="false">IF(D281="","none",IF(D281&lt;=Settings!$B$3,"simple",IF(D281&lt;=Settings!$B$4,"coding","critical")))</f>
        <v>coding</v>
      </c>
      <c r="G281" s="3" t="n">
        <f aca="false">INDEX(Prompts!$D$2:$D$200,MATCH($B281,Prompts!$A$2:$A$200,0))</f>
        <v>5</v>
      </c>
      <c r="H281" s="3" t="n">
        <f aca="false">INDEX(Prompts!$E$2:$E$200,MATCH($B281,Prompts!$A$2:$A$200,0))</f>
        <v>7</v>
      </c>
      <c r="I281" s="3" t="n">
        <f aca="false">IF(D281="",0,IF(OR(F281=IF(G281&lt;=Settings!$B$3,"simple",IF(G281&lt;=Settings!$B$4,"coding","critical")),F281=IF(H281&lt;=Settings!$B$3,"simple",IF(H281&lt;=Settings!$B$4,"coding","critical"))),1,0))</f>
        <v>1</v>
      </c>
      <c r="J281" s="3" t="n">
        <f aca="false">IF(D281="",0,IF(AND(D281&gt;=G281,D281&lt;=H281),1,0))</f>
        <v>1</v>
      </c>
      <c r="K281" s="3" t="n">
        <f aca="false">IF(E281=INDEX(Prompts!$F$2:$F$200,MATCH($B281,Prompts!$A$2:$A$200,0)),1,0)</f>
        <v>1</v>
      </c>
      <c r="L281" s="3" t="n">
        <f aca="false">IF(AND(G281&gt;Settings!$B$4,OR(D281="",D281&lt;=Settings!$B$4)),1,0)</f>
        <v>0</v>
      </c>
      <c r="M281" s="3" t="n">
        <v>7.26</v>
      </c>
      <c r="N281" s="3" t="n">
        <v>39</v>
      </c>
      <c r="O281" s="3" t="n">
        <v>138</v>
      </c>
      <c r="P281" s="14" t="n">
        <v>0.000344</v>
      </c>
      <c r="Q281" s="3" t="s">
        <v>180</v>
      </c>
      <c r="R281" s="3"/>
    </row>
    <row r="282" customFormat="false" ht="15" hidden="false" customHeight="false" outlineLevel="0" collapsed="false">
      <c r="A282" s="3" t="s">
        <v>20</v>
      </c>
      <c r="B282" s="3" t="n">
        <v>25</v>
      </c>
      <c r="C282" s="3" t="s">
        <v>140</v>
      </c>
      <c r="D282" s="3" t="n">
        <v>6</v>
      </c>
      <c r="E282" s="3" t="s">
        <v>49</v>
      </c>
      <c r="F282" s="3" t="str">
        <f aca="false">IF(D282="","none",IF(D282&lt;=Settings!$B$3,"simple",IF(D282&lt;=Settings!$B$4,"coding","critical")))</f>
        <v>coding</v>
      </c>
      <c r="G282" s="3" t="n">
        <f aca="false">INDEX(Prompts!$D$2:$D$200,MATCH($B282,Prompts!$A$2:$A$200,0))</f>
        <v>5</v>
      </c>
      <c r="H282" s="3" t="n">
        <f aca="false">INDEX(Prompts!$E$2:$E$200,MATCH($B282,Prompts!$A$2:$A$200,0))</f>
        <v>7</v>
      </c>
      <c r="I282" s="3" t="n">
        <f aca="false">IF(D282="",0,IF(OR(F282=IF(G282&lt;=Settings!$B$3,"simple",IF(G282&lt;=Settings!$B$4,"coding","critical")),F282=IF(H282&lt;=Settings!$B$3,"simple",IF(H282&lt;=Settings!$B$4,"coding","critical"))),1,0))</f>
        <v>1</v>
      </c>
      <c r="J282" s="3" t="n">
        <f aca="false">IF(D282="",0,IF(AND(D282&gt;=G282,D282&lt;=H282),1,0))</f>
        <v>1</v>
      </c>
      <c r="K282" s="3" t="n">
        <f aca="false">IF(E282=INDEX(Prompts!$F$2:$F$200,MATCH($B282,Prompts!$A$2:$A$200,0)),1,0)</f>
        <v>1</v>
      </c>
      <c r="L282" s="3" t="n">
        <f aca="false">IF(AND(G282&gt;Settings!$B$4,OR(D282="",D282&lt;=Settings!$B$4)),1,0)</f>
        <v>0</v>
      </c>
      <c r="M282" s="3" t="n">
        <v>9.96</v>
      </c>
      <c r="N282" s="3" t="n">
        <v>44</v>
      </c>
      <c r="O282" s="3" t="n">
        <v>259</v>
      </c>
      <c r="P282" s="14" t="n">
        <v>0.000559</v>
      </c>
      <c r="Q282" s="3" t="s">
        <v>180</v>
      </c>
      <c r="R282" s="3"/>
    </row>
    <row r="283" customFormat="false" ht="15" hidden="false" customHeight="false" outlineLevel="0" collapsed="false">
      <c r="A283" s="3" t="s">
        <v>20</v>
      </c>
      <c r="B283" s="3" t="n">
        <v>26</v>
      </c>
      <c r="C283" s="3" t="s">
        <v>140</v>
      </c>
      <c r="D283" s="3" t="n">
        <v>6</v>
      </c>
      <c r="E283" s="3" t="s">
        <v>49</v>
      </c>
      <c r="F283" s="3" t="str">
        <f aca="false">IF(D283="","none",IF(D283&lt;=Settings!$B$3,"simple",IF(D283&lt;=Settings!$B$4,"coding","critical")))</f>
        <v>coding</v>
      </c>
      <c r="G283" s="3" t="n">
        <f aca="false">INDEX(Prompts!$D$2:$D$200,MATCH($B283,Prompts!$A$2:$A$200,0))</f>
        <v>5</v>
      </c>
      <c r="H283" s="3" t="n">
        <f aca="false">INDEX(Prompts!$E$2:$E$200,MATCH($B283,Prompts!$A$2:$A$200,0))</f>
        <v>6</v>
      </c>
      <c r="I283" s="3" t="n">
        <f aca="false">IF(D283="",0,IF(OR(F283=IF(G283&lt;=Settings!$B$3,"simple",IF(G283&lt;=Settings!$B$4,"coding","critical")),F283=IF(H283&lt;=Settings!$B$3,"simple",IF(H283&lt;=Settings!$B$4,"coding","critical"))),1,0))</f>
        <v>1</v>
      </c>
      <c r="J283" s="3" t="n">
        <f aca="false">IF(D283="",0,IF(AND(D283&gt;=G283,D283&lt;=H283),1,0))</f>
        <v>1</v>
      </c>
      <c r="K283" s="3" t="n">
        <f aca="false">IF(E283=INDEX(Prompts!$F$2:$F$200,MATCH($B283,Prompts!$A$2:$A$200,0)),1,0)</f>
        <v>1</v>
      </c>
      <c r="L283" s="3" t="n">
        <f aca="false">IF(AND(G283&gt;Settings!$B$4,OR(D283="",D283&lt;=Settings!$B$4)),1,0)</f>
        <v>0</v>
      </c>
      <c r="M283" s="3" t="n">
        <v>13.09</v>
      </c>
      <c r="N283" s="3" t="n">
        <v>34</v>
      </c>
      <c r="O283" s="3" t="n">
        <v>375</v>
      </c>
      <c r="P283" s="14" t="n">
        <v>0.000739</v>
      </c>
      <c r="Q283" s="3" t="s">
        <v>180</v>
      </c>
      <c r="R283" s="3"/>
    </row>
    <row r="284" customFormat="false" ht="15" hidden="false" customHeight="false" outlineLevel="0" collapsed="false">
      <c r="A284" s="3" t="s">
        <v>20</v>
      </c>
      <c r="B284" s="3" t="n">
        <v>27</v>
      </c>
      <c r="C284" s="3" t="s">
        <v>157</v>
      </c>
      <c r="D284" s="3" t="n">
        <v>7</v>
      </c>
      <c r="E284" s="3" t="s">
        <v>49</v>
      </c>
      <c r="F284" s="3" t="str">
        <f aca="false">IF(D284="","none",IF(D284&lt;=Settings!$B$3,"simple",IF(D284&lt;=Settings!$B$4,"coding","critical")))</f>
        <v>coding</v>
      </c>
      <c r="G284" s="3" t="n">
        <f aca="false">INDEX(Prompts!$D$2:$D$200,MATCH($B284,Prompts!$A$2:$A$200,0))</f>
        <v>7</v>
      </c>
      <c r="H284" s="3" t="n">
        <f aca="false">INDEX(Prompts!$E$2:$E$200,MATCH($B284,Prompts!$A$2:$A$200,0))</f>
        <v>9</v>
      </c>
      <c r="I284" s="3" t="n">
        <f aca="false">IF(D284="",0,IF(OR(F284=IF(G284&lt;=Settings!$B$3,"simple",IF(G284&lt;=Settings!$B$4,"coding","critical")),F284=IF(H284&lt;=Settings!$B$3,"simple",IF(H284&lt;=Settings!$B$4,"coding","critical"))),1,0))</f>
        <v>1</v>
      </c>
      <c r="J284" s="3" t="n">
        <f aca="false">IF(D284="",0,IF(AND(D284&gt;=G284,D284&lt;=H284),1,0))</f>
        <v>1</v>
      </c>
      <c r="K284" s="3" t="n">
        <f aca="false">IF(E284=INDEX(Prompts!$F$2:$F$200,MATCH($B284,Prompts!$A$2:$A$200,0)),1,0)</f>
        <v>1</v>
      </c>
      <c r="L284" s="3" t="n">
        <f aca="false">IF(AND(G284&gt;Settings!$B$4,OR(D284="",D284&lt;=Settings!$B$4)),1,0)</f>
        <v>0</v>
      </c>
      <c r="M284" s="3" t="n">
        <v>9.25</v>
      </c>
      <c r="N284" s="3" t="n">
        <v>40</v>
      </c>
      <c r="O284" s="3" t="n">
        <v>301</v>
      </c>
      <c r="P284" s="14" t="n">
        <v>0.000623</v>
      </c>
      <c r="Q284" s="3" t="s">
        <v>180</v>
      </c>
      <c r="R284" s="3"/>
    </row>
    <row r="285" customFormat="false" ht="15" hidden="false" customHeight="false" outlineLevel="0" collapsed="false">
      <c r="A285" s="3" t="s">
        <v>20</v>
      </c>
      <c r="B285" s="3" t="n">
        <v>28</v>
      </c>
      <c r="C285" s="3" t="s">
        <v>158</v>
      </c>
      <c r="D285" s="3" t="n">
        <v>8</v>
      </c>
      <c r="E285" s="3" t="s">
        <v>53</v>
      </c>
      <c r="F285" s="3" t="str">
        <f aca="false">IF(D285="","none",IF(D285&lt;=Settings!$B$3,"simple",IF(D285&lt;=Settings!$B$4,"coding","critical")))</f>
        <v>critical</v>
      </c>
      <c r="G285" s="3" t="n">
        <f aca="false">INDEX(Prompts!$D$2:$D$200,MATCH($B285,Prompts!$A$2:$A$200,0))</f>
        <v>7</v>
      </c>
      <c r="H285" s="3" t="n">
        <f aca="false">INDEX(Prompts!$E$2:$E$200,MATCH($B285,Prompts!$A$2:$A$200,0))</f>
        <v>9</v>
      </c>
      <c r="I285" s="3" t="n">
        <f aca="false">IF(D285="",0,IF(OR(F285=IF(G285&lt;=Settings!$B$3,"simple",IF(G285&lt;=Settings!$B$4,"coding","critical")),F285=IF(H285&lt;=Settings!$B$3,"simple",IF(H285&lt;=Settings!$B$4,"coding","critical"))),1,0))</f>
        <v>1</v>
      </c>
      <c r="J285" s="3" t="n">
        <f aca="false">IF(D285="",0,IF(AND(D285&gt;=G285,D285&lt;=H285),1,0))</f>
        <v>1</v>
      </c>
      <c r="K285" s="3" t="n">
        <f aca="false">IF(E285=INDEX(Prompts!$F$2:$F$200,MATCH($B285,Prompts!$A$2:$A$200,0)),1,0)</f>
        <v>1</v>
      </c>
      <c r="L285" s="3" t="n">
        <f aca="false">IF(AND(G285&gt;Settings!$B$4,OR(D285="",D285&lt;=Settings!$B$4)),1,0)</f>
        <v>0</v>
      </c>
      <c r="M285" s="3" t="n">
        <v>6.62</v>
      </c>
      <c r="N285" s="3" t="n">
        <v>47</v>
      </c>
      <c r="O285" s="3" t="n">
        <v>206</v>
      </c>
      <c r="P285" s="14" t="n">
        <v>0.000474</v>
      </c>
      <c r="Q285" s="3" t="s">
        <v>180</v>
      </c>
      <c r="R285" s="3"/>
    </row>
    <row r="286" customFormat="false" ht="15" hidden="false" customHeight="false" outlineLevel="0" collapsed="false">
      <c r="A286" s="3" t="s">
        <v>20</v>
      </c>
      <c r="B286" s="3" t="n">
        <v>29</v>
      </c>
      <c r="C286" s="3" t="s">
        <v>188</v>
      </c>
      <c r="D286" s="3" t="n">
        <v>1</v>
      </c>
      <c r="E286" s="3" t="s">
        <v>49</v>
      </c>
      <c r="F286" s="3" t="str">
        <f aca="false">IF(D286="","none",IF(D286&lt;=Settings!$B$3,"simple",IF(D286&lt;=Settings!$B$4,"coding","critical")))</f>
        <v>simple</v>
      </c>
      <c r="G286" s="3" t="n">
        <f aca="false">INDEX(Prompts!$D$2:$D$200,MATCH($B286,Prompts!$A$2:$A$200,0))</f>
        <v>8</v>
      </c>
      <c r="H286" s="3" t="n">
        <f aca="false">INDEX(Prompts!$E$2:$E$200,MATCH($B286,Prompts!$A$2:$A$200,0))</f>
        <v>10</v>
      </c>
      <c r="I286" s="3" t="n">
        <f aca="false">IF(D286="",0,IF(OR(F286=IF(G286&lt;=Settings!$B$3,"simple",IF(G286&lt;=Settings!$B$4,"coding","critical")),F286=IF(H286&lt;=Settings!$B$3,"simple",IF(H286&lt;=Settings!$B$4,"coding","critical"))),1,0))</f>
        <v>0</v>
      </c>
      <c r="J286" s="3" t="n">
        <f aca="false">IF(D286="",0,IF(AND(D286&gt;=G286,D286&lt;=H286),1,0))</f>
        <v>0</v>
      </c>
      <c r="K286" s="3" t="n">
        <f aca="false">IF(E286=INDEX(Prompts!$F$2:$F$200,MATCH($B286,Prompts!$A$2:$A$200,0)),1,0)</f>
        <v>1</v>
      </c>
      <c r="L286" s="3" t="n">
        <f aca="false">IF(AND(G286&gt;Settings!$B$4,OR(D286="",D286&lt;=Settings!$B$4)),1,0)</f>
        <v>1</v>
      </c>
      <c r="M286" s="3" t="n">
        <v>10.25</v>
      </c>
      <c r="N286" s="3" t="n">
        <v>46</v>
      </c>
      <c r="O286" s="3" t="n">
        <v>400</v>
      </c>
      <c r="P286" s="14" t="n">
        <v>0.000802</v>
      </c>
      <c r="Q286" s="3" t="s">
        <v>180</v>
      </c>
      <c r="R286" s="3"/>
    </row>
    <row r="287" customFormat="false" ht="15" hidden="false" customHeight="false" outlineLevel="0" collapsed="false">
      <c r="A287" s="3" t="s">
        <v>20</v>
      </c>
      <c r="B287" s="3" t="n">
        <v>30</v>
      </c>
      <c r="C287" s="3" t="s">
        <v>189</v>
      </c>
      <c r="D287" s="3" t="n">
        <v>9</v>
      </c>
      <c r="E287" s="3" t="s">
        <v>49</v>
      </c>
      <c r="F287" s="3" t="str">
        <f aca="false">IF(D287="","none",IF(D287&lt;=Settings!$B$3,"simple",IF(D287&lt;=Settings!$B$4,"coding","critical")))</f>
        <v>critical</v>
      </c>
      <c r="G287" s="3" t="n">
        <f aca="false">INDEX(Prompts!$D$2:$D$200,MATCH($B287,Prompts!$A$2:$A$200,0))</f>
        <v>9</v>
      </c>
      <c r="H287" s="3" t="n">
        <f aca="false">INDEX(Prompts!$E$2:$E$200,MATCH($B287,Prompts!$A$2:$A$200,0))</f>
        <v>10</v>
      </c>
      <c r="I287" s="3" t="n">
        <f aca="false">IF(D287="",0,IF(OR(F287=IF(G287&lt;=Settings!$B$3,"simple",IF(G287&lt;=Settings!$B$4,"coding","critical")),F287=IF(H287&lt;=Settings!$B$3,"simple",IF(H287&lt;=Settings!$B$4,"coding","critical"))),1,0))</f>
        <v>1</v>
      </c>
      <c r="J287" s="3" t="n">
        <f aca="false">IF(D287="",0,IF(AND(D287&gt;=G287,D287&lt;=H287),1,0))</f>
        <v>1</v>
      </c>
      <c r="K287" s="3" t="n">
        <f aca="false">IF(E287=INDEX(Prompts!$F$2:$F$200,MATCH($B287,Prompts!$A$2:$A$200,0)),1,0)</f>
        <v>1</v>
      </c>
      <c r="L287" s="3" t="n">
        <f aca="false">IF(AND(G287&gt;Settings!$B$4,OR(D287="",D287&lt;=Settings!$B$4)),1,0)</f>
        <v>0</v>
      </c>
      <c r="M287" s="3" t="n">
        <v>11.01</v>
      </c>
      <c r="N287" s="3" t="n">
        <v>39</v>
      </c>
      <c r="O287" s="3" t="n">
        <v>400</v>
      </c>
      <c r="P287" s="14" t="n">
        <v>0.00079</v>
      </c>
      <c r="Q287" s="3" t="s">
        <v>180</v>
      </c>
      <c r="R287" s="3"/>
    </row>
    <row r="288" customFormat="false" ht="15" hidden="false" customHeight="false" outlineLevel="0" collapsed="false">
      <c r="A288" s="3" t="s">
        <v>20</v>
      </c>
      <c r="B288" s="3" t="n">
        <v>31</v>
      </c>
      <c r="C288" s="3" t="s">
        <v>190</v>
      </c>
      <c r="D288" s="3" t="n">
        <v>1</v>
      </c>
      <c r="E288" s="3" t="s">
        <v>49</v>
      </c>
      <c r="F288" s="3" t="str">
        <f aca="false">IF(D288="","none",IF(D288&lt;=Settings!$B$3,"simple",IF(D288&lt;=Settings!$B$4,"coding","critical")))</f>
        <v>simple</v>
      </c>
      <c r="G288" s="3" t="n">
        <f aca="false">INDEX(Prompts!$D$2:$D$200,MATCH($B288,Prompts!$A$2:$A$200,0))</f>
        <v>9</v>
      </c>
      <c r="H288" s="3" t="n">
        <f aca="false">INDEX(Prompts!$E$2:$E$200,MATCH($B288,Prompts!$A$2:$A$200,0))</f>
        <v>10</v>
      </c>
      <c r="I288" s="3" t="n">
        <f aca="false">IF(D288="",0,IF(OR(F288=IF(G288&lt;=Settings!$B$3,"simple",IF(G288&lt;=Settings!$B$4,"coding","critical")),F288=IF(H288&lt;=Settings!$B$3,"simple",IF(H288&lt;=Settings!$B$4,"coding","critical"))),1,0))</f>
        <v>0</v>
      </c>
      <c r="J288" s="3" t="n">
        <f aca="false">IF(D288="",0,IF(AND(D288&gt;=G288,D288&lt;=H288),1,0))</f>
        <v>0</v>
      </c>
      <c r="K288" s="3" t="n">
        <f aca="false">IF(E288=INDEX(Prompts!$F$2:$F$200,MATCH($B288,Prompts!$A$2:$A$200,0)),1,0)</f>
        <v>0</v>
      </c>
      <c r="L288" s="3" t="n">
        <f aca="false">IF(AND(G288&gt;Settings!$B$4,OR(D288="",D288&lt;=Settings!$B$4)),1,0)</f>
        <v>1</v>
      </c>
      <c r="M288" s="3" t="n">
        <v>10.73</v>
      </c>
      <c r="N288" s="3" t="n">
        <v>42</v>
      </c>
      <c r="O288" s="3" t="n">
        <v>400</v>
      </c>
      <c r="P288" s="14" t="n">
        <v>0.000795</v>
      </c>
      <c r="Q288" s="3" t="s">
        <v>180</v>
      </c>
      <c r="R288" s="3"/>
    </row>
    <row r="289" customFormat="false" ht="15" hidden="false" customHeight="false" outlineLevel="0" collapsed="false">
      <c r="A289" s="3" t="s">
        <v>20</v>
      </c>
      <c r="B289" s="3" t="n">
        <v>32</v>
      </c>
      <c r="C289" s="3" t="s">
        <v>191</v>
      </c>
      <c r="D289" s="3" t="n">
        <v>9</v>
      </c>
      <c r="E289" s="3" t="s">
        <v>49</v>
      </c>
      <c r="F289" s="3" t="str">
        <f aca="false">IF(D289="","none",IF(D289&lt;=Settings!$B$3,"simple",IF(D289&lt;=Settings!$B$4,"coding","critical")))</f>
        <v>critical</v>
      </c>
      <c r="G289" s="3" t="n">
        <f aca="false">INDEX(Prompts!$D$2:$D$200,MATCH($B289,Prompts!$A$2:$A$200,0))</f>
        <v>9</v>
      </c>
      <c r="H289" s="3" t="n">
        <f aca="false">INDEX(Prompts!$E$2:$E$200,MATCH($B289,Prompts!$A$2:$A$200,0))</f>
        <v>10</v>
      </c>
      <c r="I289" s="3" t="n">
        <f aca="false">IF(D289="",0,IF(OR(F289=IF(G289&lt;=Settings!$B$3,"simple",IF(G289&lt;=Settings!$B$4,"coding","critical")),F289=IF(H289&lt;=Settings!$B$3,"simple",IF(H289&lt;=Settings!$B$4,"coding","critical"))),1,0))</f>
        <v>1</v>
      </c>
      <c r="J289" s="3" t="n">
        <f aca="false">IF(D289="",0,IF(AND(D289&gt;=G289,D289&lt;=H289),1,0))</f>
        <v>1</v>
      </c>
      <c r="K289" s="3" t="n">
        <f aca="false">IF(E289=INDEX(Prompts!$F$2:$F$200,MATCH($B289,Prompts!$A$2:$A$200,0)),1,0)</f>
        <v>1</v>
      </c>
      <c r="L289" s="3" t="n">
        <f aca="false">IF(AND(G289&gt;Settings!$B$4,OR(D289="",D289&lt;=Settings!$B$4)),1,0)</f>
        <v>0</v>
      </c>
      <c r="M289" s="3" t="n">
        <v>10.58</v>
      </c>
      <c r="N289" s="3" t="n">
        <v>56</v>
      </c>
      <c r="O289" s="3" t="n">
        <v>400</v>
      </c>
      <c r="P289" s="14" t="n">
        <v>0.000819</v>
      </c>
      <c r="Q289" s="3" t="s">
        <v>180</v>
      </c>
      <c r="R289" s="3"/>
    </row>
    <row r="290" customFormat="false" ht="15" hidden="false" customHeight="false" outlineLevel="0" collapsed="false">
      <c r="A290" s="3" t="s">
        <v>21</v>
      </c>
      <c r="B290" s="3" t="n">
        <v>1</v>
      </c>
      <c r="C290" s="3" t="s">
        <v>131</v>
      </c>
      <c r="D290" s="3" t="n">
        <v>1</v>
      </c>
      <c r="E290" s="3" t="s">
        <v>49</v>
      </c>
      <c r="F290" s="3" t="str">
        <f aca="false">IF(D290="","none",IF(D290&lt;=Settings!$B$3,"simple",IF(D290&lt;=Settings!$B$4,"coding","critical")))</f>
        <v>simple</v>
      </c>
      <c r="G290" s="3" t="n">
        <f aca="false">INDEX(Prompts!$D$2:$D$200,MATCH($B290,Prompts!$A$2:$A$200,0))</f>
        <v>1</v>
      </c>
      <c r="H290" s="3" t="n">
        <f aca="false">INDEX(Prompts!$E$2:$E$200,MATCH($B290,Prompts!$A$2:$A$200,0))</f>
        <v>2</v>
      </c>
      <c r="I290" s="3" t="n">
        <f aca="false">IF(D290="",0,IF(OR(F290=IF(G290&lt;=Settings!$B$3,"simple",IF(G290&lt;=Settings!$B$4,"coding","critical")),F290=IF(H290&lt;=Settings!$B$3,"simple",IF(H290&lt;=Settings!$B$4,"coding","critical"))),1,0))</f>
        <v>1</v>
      </c>
      <c r="J290" s="3" t="n">
        <f aca="false">IF(D290="",0,IF(AND(D290&gt;=G290,D290&lt;=H290),1,0))</f>
        <v>1</v>
      </c>
      <c r="K290" s="3" t="n">
        <f aca="false">IF(E290=INDEX(Prompts!$F$2:$F$200,MATCH($B290,Prompts!$A$2:$A$200,0)),1,0)</f>
        <v>1</v>
      </c>
      <c r="L290" s="3" t="n">
        <f aca="false">IF(AND(G290&gt;Settings!$B$4,OR(D290="",D290&lt;=Settings!$B$4)),1,0)</f>
        <v>0</v>
      </c>
      <c r="M290" s="3" t="n">
        <v>3.04</v>
      </c>
      <c r="N290" s="3" t="n">
        <v>286</v>
      </c>
      <c r="O290" s="3" t="n">
        <v>4</v>
      </c>
      <c r="P290" s="14" t="n">
        <v>0.000186</v>
      </c>
      <c r="Q290" s="3" t="s">
        <v>192</v>
      </c>
      <c r="R290" s="3"/>
    </row>
    <row r="291" customFormat="false" ht="15" hidden="false" customHeight="false" outlineLevel="0" collapsed="false">
      <c r="A291" s="3" t="s">
        <v>21</v>
      </c>
      <c r="B291" s="3" t="n">
        <v>2</v>
      </c>
      <c r="C291" s="3" t="s">
        <v>193</v>
      </c>
      <c r="D291" s="3" t="n">
        <v>1</v>
      </c>
      <c r="E291" s="3" t="s">
        <v>49</v>
      </c>
      <c r="F291" s="3" t="str">
        <f aca="false">IF(D291="","none",IF(D291&lt;=Settings!$B$3,"simple",IF(D291&lt;=Settings!$B$4,"coding","critical")))</f>
        <v>simple</v>
      </c>
      <c r="G291" s="3" t="n">
        <f aca="false">INDEX(Prompts!$D$2:$D$200,MATCH($B291,Prompts!$A$2:$A$200,0))</f>
        <v>1</v>
      </c>
      <c r="H291" s="3" t="n">
        <f aca="false">INDEX(Prompts!$E$2:$E$200,MATCH($B291,Prompts!$A$2:$A$200,0))</f>
        <v>2</v>
      </c>
      <c r="I291" s="3" t="n">
        <f aca="false">IF(D291="",0,IF(OR(F291=IF(G291&lt;=Settings!$B$3,"simple",IF(G291&lt;=Settings!$B$4,"coding","critical")),F291=IF(H291&lt;=Settings!$B$3,"simple",IF(H291&lt;=Settings!$B$4,"coding","critical"))),1,0))</f>
        <v>1</v>
      </c>
      <c r="J291" s="3" t="n">
        <f aca="false">IF(D291="",0,IF(AND(D291&gt;=G291,D291&lt;=H291),1,0))</f>
        <v>1</v>
      </c>
      <c r="K291" s="3" t="n">
        <f aca="false">IF(E291=INDEX(Prompts!$F$2:$F$200,MATCH($B291,Prompts!$A$2:$A$200,0)),1,0)</f>
        <v>1</v>
      </c>
      <c r="L291" s="3" t="n">
        <f aca="false">IF(AND(G291&gt;Settings!$B$4,OR(D291="",D291&lt;=Settings!$B$4)),1,0)</f>
        <v>0</v>
      </c>
      <c r="M291" s="3" t="n">
        <v>3.49</v>
      </c>
      <c r="N291" s="3" t="n">
        <v>292</v>
      </c>
      <c r="O291" s="3" t="n">
        <v>139</v>
      </c>
      <c r="P291" s="14" t="n">
        <v>0.00027</v>
      </c>
      <c r="Q291" s="3" t="s">
        <v>192</v>
      </c>
      <c r="R291" s="3"/>
    </row>
    <row r="292" customFormat="false" ht="15" hidden="false" customHeight="false" outlineLevel="0" collapsed="false">
      <c r="A292" s="3" t="s">
        <v>21</v>
      </c>
      <c r="B292" s="3" t="n">
        <v>3</v>
      </c>
      <c r="C292" s="3" t="s">
        <v>128</v>
      </c>
      <c r="D292" s="3" t="n">
        <v>1</v>
      </c>
      <c r="E292" s="3" t="s">
        <v>56</v>
      </c>
      <c r="F292" s="3" t="str">
        <f aca="false">IF(D292="","none",IF(D292&lt;=Settings!$B$3,"simple",IF(D292&lt;=Settings!$B$4,"coding","critical")))</f>
        <v>simple</v>
      </c>
      <c r="G292" s="3" t="n">
        <f aca="false">INDEX(Prompts!$D$2:$D$200,MATCH($B292,Prompts!$A$2:$A$200,0))</f>
        <v>1</v>
      </c>
      <c r="H292" s="3" t="n">
        <f aca="false">INDEX(Prompts!$E$2:$E$200,MATCH($B292,Prompts!$A$2:$A$200,0))</f>
        <v>2</v>
      </c>
      <c r="I292" s="3" t="n">
        <f aca="false">IF(D292="",0,IF(OR(F292=IF(G292&lt;=Settings!$B$3,"simple",IF(G292&lt;=Settings!$B$4,"coding","critical")),F292=IF(H292&lt;=Settings!$B$3,"simple",IF(H292&lt;=Settings!$B$4,"coding","critical"))),1,0))</f>
        <v>1</v>
      </c>
      <c r="J292" s="3" t="n">
        <f aca="false">IF(D292="",0,IF(AND(D292&gt;=G292,D292&lt;=H292),1,0))</f>
        <v>1</v>
      </c>
      <c r="K292" s="3" t="n">
        <f aca="false">IF(E292=INDEX(Prompts!$F$2:$F$200,MATCH($B292,Prompts!$A$2:$A$200,0)),1,0)</f>
        <v>0</v>
      </c>
      <c r="L292" s="3" t="n">
        <f aca="false">IF(AND(G292&gt;Settings!$B$4,OR(D292="",D292&lt;=Settings!$B$4)),1,0)</f>
        <v>0</v>
      </c>
      <c r="M292" s="3" t="n">
        <v>2.41</v>
      </c>
      <c r="N292" s="3" t="n">
        <v>290</v>
      </c>
      <c r="O292" s="3" t="n">
        <v>4</v>
      </c>
      <c r="P292" s="14" t="n">
        <v>0.000188</v>
      </c>
      <c r="Q292" s="3" t="s">
        <v>192</v>
      </c>
      <c r="R292" s="3"/>
    </row>
    <row r="293" customFormat="false" ht="15" hidden="false" customHeight="false" outlineLevel="0" collapsed="false">
      <c r="A293" s="3" t="s">
        <v>21</v>
      </c>
      <c r="B293" s="3" t="n">
        <v>4</v>
      </c>
      <c r="C293" s="3" t="s">
        <v>128</v>
      </c>
      <c r="D293" s="3" t="n">
        <v>1</v>
      </c>
      <c r="E293" s="3" t="s">
        <v>56</v>
      </c>
      <c r="F293" s="3" t="str">
        <f aca="false">IF(D293="","none",IF(D293&lt;=Settings!$B$3,"simple",IF(D293&lt;=Settings!$B$4,"coding","critical")))</f>
        <v>simple</v>
      </c>
      <c r="G293" s="3" t="n">
        <f aca="false">INDEX(Prompts!$D$2:$D$200,MATCH($B293,Prompts!$A$2:$A$200,0))</f>
        <v>1</v>
      </c>
      <c r="H293" s="3" t="n">
        <f aca="false">INDEX(Prompts!$E$2:$E$200,MATCH($B293,Prompts!$A$2:$A$200,0))</f>
        <v>2</v>
      </c>
      <c r="I293" s="3" t="n">
        <f aca="false">IF(D293="",0,IF(OR(F293=IF(G293&lt;=Settings!$B$3,"simple",IF(G293&lt;=Settings!$B$4,"coding","critical")),F293=IF(H293&lt;=Settings!$B$3,"simple",IF(H293&lt;=Settings!$B$4,"coding","critical"))),1,0))</f>
        <v>1</v>
      </c>
      <c r="J293" s="3" t="n">
        <f aca="false">IF(D293="",0,IF(AND(D293&gt;=G293,D293&lt;=H293),1,0))</f>
        <v>1</v>
      </c>
      <c r="K293" s="3" t="n">
        <f aca="false">IF(E293=INDEX(Prompts!$F$2:$F$200,MATCH($B293,Prompts!$A$2:$A$200,0)),1,0)</f>
        <v>1</v>
      </c>
      <c r="L293" s="3" t="n">
        <f aca="false">IF(AND(G293&gt;Settings!$B$4,OR(D293="",D293&lt;=Settings!$B$4)),1,0)</f>
        <v>0</v>
      </c>
      <c r="M293" s="3" t="n">
        <v>2.24</v>
      </c>
      <c r="N293" s="3" t="n">
        <v>285</v>
      </c>
      <c r="O293" s="3" t="n">
        <v>4</v>
      </c>
      <c r="P293" s="14" t="n">
        <v>0.000185</v>
      </c>
      <c r="Q293" s="3" t="s">
        <v>192</v>
      </c>
      <c r="R293" s="3"/>
    </row>
    <row r="294" customFormat="false" ht="15" hidden="false" customHeight="false" outlineLevel="0" collapsed="false">
      <c r="A294" s="3" t="s">
        <v>21</v>
      </c>
      <c r="B294" s="3" t="n">
        <v>5</v>
      </c>
      <c r="C294" s="3" t="s">
        <v>194</v>
      </c>
      <c r="D294" s="3" t="n">
        <v>1</v>
      </c>
      <c r="E294" s="3" t="s">
        <v>49</v>
      </c>
      <c r="F294" s="3" t="str">
        <f aca="false">IF(D294="","none",IF(D294&lt;=Settings!$B$3,"simple",IF(D294&lt;=Settings!$B$4,"coding","critical")))</f>
        <v>simple</v>
      </c>
      <c r="G294" s="3" t="n">
        <f aca="false">INDEX(Prompts!$D$2:$D$200,MATCH($B294,Prompts!$A$2:$A$200,0))</f>
        <v>1</v>
      </c>
      <c r="H294" s="3" t="n">
        <f aca="false">INDEX(Prompts!$E$2:$E$200,MATCH($B294,Prompts!$A$2:$A$200,0))</f>
        <v>2</v>
      </c>
      <c r="I294" s="3" t="n">
        <f aca="false">IF(D294="",0,IF(OR(F294=IF(G294&lt;=Settings!$B$3,"simple",IF(G294&lt;=Settings!$B$4,"coding","critical")),F294=IF(H294&lt;=Settings!$B$3,"simple",IF(H294&lt;=Settings!$B$4,"coding","critical"))),1,0))</f>
        <v>1</v>
      </c>
      <c r="J294" s="3" t="n">
        <f aca="false">IF(D294="",0,IF(AND(D294&gt;=G294,D294&lt;=H294),1,0))</f>
        <v>1</v>
      </c>
      <c r="K294" s="3" t="n">
        <f aca="false">IF(E294=INDEX(Prompts!$F$2:$F$200,MATCH($B294,Prompts!$A$2:$A$200,0)),1,0)</f>
        <v>0</v>
      </c>
      <c r="L294" s="3" t="n">
        <f aca="false">IF(AND(G294&gt;Settings!$B$4,OR(D294="",D294&lt;=Settings!$B$4)),1,0)</f>
        <v>0</v>
      </c>
      <c r="M294" s="3" t="n">
        <v>4.19</v>
      </c>
      <c r="N294" s="3" t="n">
        <v>292</v>
      </c>
      <c r="O294" s="3" t="n">
        <v>64</v>
      </c>
      <c r="P294" s="14" t="n">
        <v>0.000225</v>
      </c>
      <c r="Q294" s="3" t="s">
        <v>192</v>
      </c>
      <c r="R294" s="3"/>
    </row>
    <row r="295" customFormat="false" ht="15" hidden="false" customHeight="false" outlineLevel="0" collapsed="false">
      <c r="A295" s="3" t="s">
        <v>21</v>
      </c>
      <c r="B295" s="3" t="n">
        <v>6</v>
      </c>
      <c r="C295" s="3" t="s">
        <v>152</v>
      </c>
      <c r="D295" s="3" t="n">
        <v>1</v>
      </c>
      <c r="E295" s="3" t="s">
        <v>58</v>
      </c>
      <c r="F295" s="3" t="str">
        <f aca="false">IF(D295="","none",IF(D295&lt;=Settings!$B$3,"simple",IF(D295&lt;=Settings!$B$4,"coding","critical")))</f>
        <v>simple</v>
      </c>
      <c r="G295" s="3" t="n">
        <f aca="false">INDEX(Prompts!$D$2:$D$200,MATCH($B295,Prompts!$A$2:$A$200,0))</f>
        <v>1</v>
      </c>
      <c r="H295" s="3" t="n">
        <f aca="false">INDEX(Prompts!$E$2:$E$200,MATCH($B295,Prompts!$A$2:$A$200,0))</f>
        <v>2</v>
      </c>
      <c r="I295" s="3" t="n">
        <f aca="false">IF(D295="",0,IF(OR(F295=IF(G295&lt;=Settings!$B$3,"simple",IF(G295&lt;=Settings!$B$4,"coding","critical")),F295=IF(H295&lt;=Settings!$B$3,"simple",IF(H295&lt;=Settings!$B$4,"coding","critical"))),1,0))</f>
        <v>1</v>
      </c>
      <c r="J295" s="3" t="n">
        <f aca="false">IF(D295="",0,IF(AND(D295&gt;=G295,D295&lt;=H295),1,0))</f>
        <v>1</v>
      </c>
      <c r="K295" s="3" t="n">
        <f aca="false">IF(E295=INDEX(Prompts!$F$2:$F$200,MATCH($B295,Prompts!$A$2:$A$200,0)),1,0)</f>
        <v>0</v>
      </c>
      <c r="L295" s="3" t="n">
        <f aca="false">IF(AND(G295&gt;Settings!$B$4,OR(D295="",D295&lt;=Settings!$B$4)),1,0)</f>
        <v>0</v>
      </c>
      <c r="M295" s="3" t="n">
        <v>3.88</v>
      </c>
      <c r="N295" s="3" t="n">
        <v>285</v>
      </c>
      <c r="O295" s="3" t="n">
        <v>4</v>
      </c>
      <c r="P295" s="14" t="n">
        <v>0.000185</v>
      </c>
      <c r="Q295" s="3" t="s">
        <v>192</v>
      </c>
      <c r="R295" s="3"/>
    </row>
    <row r="296" customFormat="false" ht="15" hidden="false" customHeight="false" outlineLevel="0" collapsed="false">
      <c r="A296" s="3" t="s">
        <v>21</v>
      </c>
      <c r="B296" s="3" t="n">
        <v>7</v>
      </c>
      <c r="C296" s="3" t="s">
        <v>195</v>
      </c>
      <c r="D296" s="3" t="n">
        <v>2</v>
      </c>
      <c r="E296" s="3" t="s">
        <v>49</v>
      </c>
      <c r="F296" s="3" t="str">
        <f aca="false">IF(D296="","none",IF(D296&lt;=Settings!$B$3,"simple",IF(D296&lt;=Settings!$B$4,"coding","critical")))</f>
        <v>simple</v>
      </c>
      <c r="G296" s="3" t="n">
        <f aca="false">INDEX(Prompts!$D$2:$D$200,MATCH($B296,Prompts!$A$2:$A$200,0))</f>
        <v>1</v>
      </c>
      <c r="H296" s="3" t="n">
        <f aca="false">INDEX(Prompts!$E$2:$E$200,MATCH($B296,Prompts!$A$2:$A$200,0))</f>
        <v>3</v>
      </c>
      <c r="I296" s="3" t="n">
        <f aca="false">IF(D296="",0,IF(OR(F296=IF(G296&lt;=Settings!$B$3,"simple",IF(G296&lt;=Settings!$B$4,"coding","critical")),F296=IF(H296&lt;=Settings!$B$3,"simple",IF(H296&lt;=Settings!$B$4,"coding","critical"))),1,0))</f>
        <v>1</v>
      </c>
      <c r="J296" s="3" t="n">
        <f aca="false">IF(D296="",0,IF(AND(D296&gt;=G296,D296&lt;=H296),1,0))</f>
        <v>1</v>
      </c>
      <c r="K296" s="3" t="n">
        <f aca="false">IF(E296=INDEX(Prompts!$F$2:$F$200,MATCH($B296,Prompts!$A$2:$A$200,0)),1,0)</f>
        <v>1</v>
      </c>
      <c r="L296" s="3" t="n">
        <f aca="false">IF(AND(G296&gt;Settings!$B$4,OR(D296="",D296&lt;=Settings!$B$4)),1,0)</f>
        <v>0</v>
      </c>
      <c r="M296" s="3" t="n">
        <v>4.12</v>
      </c>
      <c r="N296" s="3" t="n">
        <v>286</v>
      </c>
      <c r="O296" s="3" t="n">
        <v>55</v>
      </c>
      <c r="P296" s="14" t="n">
        <v>0.000216</v>
      </c>
      <c r="Q296" s="3" t="s">
        <v>192</v>
      </c>
      <c r="R296" s="3"/>
    </row>
    <row r="297" customFormat="false" ht="15" hidden="false" customHeight="false" outlineLevel="0" collapsed="false">
      <c r="A297" s="3" t="s">
        <v>21</v>
      </c>
      <c r="B297" s="3" t="n">
        <v>8</v>
      </c>
      <c r="C297" s="3" t="s">
        <v>132</v>
      </c>
      <c r="D297" s="3" t="n">
        <v>3</v>
      </c>
      <c r="E297" s="3" t="s">
        <v>49</v>
      </c>
      <c r="F297" s="3" t="str">
        <f aca="false">IF(D297="","none",IF(D297&lt;=Settings!$B$3,"simple",IF(D297&lt;=Settings!$B$4,"coding","critical")))</f>
        <v>simple</v>
      </c>
      <c r="G297" s="3" t="n">
        <f aca="false">INDEX(Prompts!$D$2:$D$200,MATCH($B297,Prompts!$A$2:$A$200,0))</f>
        <v>2</v>
      </c>
      <c r="H297" s="3" t="n">
        <f aca="false">INDEX(Prompts!$E$2:$E$200,MATCH($B297,Prompts!$A$2:$A$200,0))</f>
        <v>3</v>
      </c>
      <c r="I297" s="3" t="n">
        <f aca="false">IF(D297="",0,IF(OR(F297=IF(G297&lt;=Settings!$B$3,"simple",IF(G297&lt;=Settings!$B$4,"coding","critical")),F297=IF(H297&lt;=Settings!$B$3,"simple",IF(H297&lt;=Settings!$B$4,"coding","critical"))),1,0))</f>
        <v>1</v>
      </c>
      <c r="J297" s="3" t="n">
        <f aca="false">IF(D297="",0,IF(AND(D297&gt;=G297,D297&lt;=H297),1,0))</f>
        <v>1</v>
      </c>
      <c r="K297" s="3" t="n">
        <f aca="false">IF(E297=INDEX(Prompts!$F$2:$F$200,MATCH($B297,Prompts!$A$2:$A$200,0)),1,0)</f>
        <v>1</v>
      </c>
      <c r="L297" s="3" t="n">
        <f aca="false">IF(AND(G297&gt;Settings!$B$4,OR(D297="",D297&lt;=Settings!$B$4)),1,0)</f>
        <v>0</v>
      </c>
      <c r="M297" s="3" t="n">
        <v>2.92</v>
      </c>
      <c r="N297" s="3" t="n">
        <v>289</v>
      </c>
      <c r="O297" s="3" t="n">
        <v>4</v>
      </c>
      <c r="P297" s="14" t="n">
        <v>0.000187</v>
      </c>
      <c r="Q297" s="3" t="s">
        <v>192</v>
      </c>
      <c r="R297" s="3"/>
    </row>
    <row r="298" customFormat="false" ht="15" hidden="false" customHeight="false" outlineLevel="0" collapsed="false">
      <c r="A298" s="3" t="s">
        <v>21</v>
      </c>
      <c r="B298" s="3" t="n">
        <v>9</v>
      </c>
      <c r="C298" s="3" t="s">
        <v>160</v>
      </c>
      <c r="D298" s="3" t="n">
        <v>2</v>
      </c>
      <c r="E298" s="3" t="s">
        <v>49</v>
      </c>
      <c r="F298" s="3" t="str">
        <f aca="false">IF(D298="","none",IF(D298&lt;=Settings!$B$3,"simple",IF(D298&lt;=Settings!$B$4,"coding","critical")))</f>
        <v>simple</v>
      </c>
      <c r="G298" s="3" t="n">
        <f aca="false">INDEX(Prompts!$D$2:$D$200,MATCH($B298,Prompts!$A$2:$A$200,0))</f>
        <v>2</v>
      </c>
      <c r="H298" s="3" t="n">
        <f aca="false">INDEX(Prompts!$E$2:$E$200,MATCH($B298,Prompts!$A$2:$A$200,0))</f>
        <v>3</v>
      </c>
      <c r="I298" s="3" t="n">
        <f aca="false">IF(D298="",0,IF(OR(F298=IF(G298&lt;=Settings!$B$3,"simple",IF(G298&lt;=Settings!$B$4,"coding","critical")),F298=IF(H298&lt;=Settings!$B$3,"simple",IF(H298&lt;=Settings!$B$4,"coding","critical"))),1,0))</f>
        <v>1</v>
      </c>
      <c r="J298" s="3" t="n">
        <f aca="false">IF(D298="",0,IF(AND(D298&gt;=G298,D298&lt;=H298),1,0))</f>
        <v>1</v>
      </c>
      <c r="K298" s="3" t="n">
        <f aca="false">IF(E298=INDEX(Prompts!$F$2:$F$200,MATCH($B298,Prompts!$A$2:$A$200,0)),1,0)</f>
        <v>1</v>
      </c>
      <c r="L298" s="3" t="n">
        <f aca="false">IF(AND(G298&gt;Settings!$B$4,OR(D298="",D298&lt;=Settings!$B$4)),1,0)</f>
        <v>0</v>
      </c>
      <c r="M298" s="3" t="n">
        <v>3.13</v>
      </c>
      <c r="N298" s="3" t="n">
        <v>287</v>
      </c>
      <c r="O298" s="3" t="n">
        <v>4</v>
      </c>
      <c r="P298" s="14" t="n">
        <v>0.000186</v>
      </c>
      <c r="Q298" s="3" t="s">
        <v>192</v>
      </c>
      <c r="R298" s="3"/>
    </row>
    <row r="299" customFormat="false" ht="15" hidden="false" customHeight="false" outlineLevel="0" collapsed="false">
      <c r="A299" s="3" t="s">
        <v>21</v>
      </c>
      <c r="B299" s="3" t="n">
        <v>10</v>
      </c>
      <c r="C299" s="3" t="s">
        <v>132</v>
      </c>
      <c r="D299" s="3" t="n">
        <v>3</v>
      </c>
      <c r="E299" s="3" t="s">
        <v>49</v>
      </c>
      <c r="F299" s="3" t="str">
        <f aca="false">IF(D299="","none",IF(D299&lt;=Settings!$B$3,"simple",IF(D299&lt;=Settings!$B$4,"coding","critical")))</f>
        <v>simple</v>
      </c>
      <c r="G299" s="3" t="n">
        <f aca="false">INDEX(Prompts!$D$2:$D$200,MATCH($B299,Prompts!$A$2:$A$200,0))</f>
        <v>2</v>
      </c>
      <c r="H299" s="3" t="n">
        <f aca="false">INDEX(Prompts!$E$2:$E$200,MATCH($B299,Prompts!$A$2:$A$200,0))</f>
        <v>3</v>
      </c>
      <c r="I299" s="3" t="n">
        <f aca="false">IF(D299="",0,IF(OR(F299=IF(G299&lt;=Settings!$B$3,"simple",IF(G299&lt;=Settings!$B$4,"coding","critical")),F299=IF(H299&lt;=Settings!$B$3,"simple",IF(H299&lt;=Settings!$B$4,"coding","critical"))),1,0))</f>
        <v>1</v>
      </c>
      <c r="J299" s="3" t="n">
        <f aca="false">IF(D299="",0,IF(AND(D299&gt;=G299,D299&lt;=H299),1,0))</f>
        <v>1</v>
      </c>
      <c r="K299" s="3" t="n">
        <f aca="false">IF(E299=INDEX(Prompts!$F$2:$F$200,MATCH($B299,Prompts!$A$2:$A$200,0)),1,0)</f>
        <v>1</v>
      </c>
      <c r="L299" s="3" t="n">
        <f aca="false">IF(AND(G299&gt;Settings!$B$4,OR(D299="",D299&lt;=Settings!$B$4)),1,0)</f>
        <v>0</v>
      </c>
      <c r="M299" s="3" t="n">
        <v>3.92</v>
      </c>
      <c r="N299" s="3" t="n">
        <v>285</v>
      </c>
      <c r="O299" s="3" t="n">
        <v>4</v>
      </c>
      <c r="P299" s="14" t="n">
        <v>0.000185</v>
      </c>
      <c r="Q299" s="3" t="s">
        <v>192</v>
      </c>
      <c r="R299" s="3"/>
    </row>
    <row r="300" customFormat="false" ht="15" hidden="false" customHeight="false" outlineLevel="0" collapsed="false">
      <c r="A300" s="3" t="s">
        <v>21</v>
      </c>
      <c r="B300" s="3" t="n">
        <v>11</v>
      </c>
      <c r="C300" s="3" t="s">
        <v>196</v>
      </c>
      <c r="D300" s="3" t="n">
        <v>1</v>
      </c>
      <c r="E300" s="3" t="s">
        <v>49</v>
      </c>
      <c r="F300" s="3" t="str">
        <f aca="false">IF(D300="","none",IF(D300&lt;=Settings!$B$3,"simple",IF(D300&lt;=Settings!$B$4,"coding","critical")))</f>
        <v>simple</v>
      </c>
      <c r="G300" s="3" t="n">
        <f aca="false">INDEX(Prompts!$D$2:$D$200,MATCH($B300,Prompts!$A$2:$A$200,0))</f>
        <v>1</v>
      </c>
      <c r="H300" s="3" t="n">
        <f aca="false">INDEX(Prompts!$E$2:$E$200,MATCH($B300,Prompts!$A$2:$A$200,0))</f>
        <v>3</v>
      </c>
      <c r="I300" s="3" t="n">
        <f aca="false">IF(D300="",0,IF(OR(F300=IF(G300&lt;=Settings!$B$3,"simple",IF(G300&lt;=Settings!$B$4,"coding","critical")),F300=IF(H300&lt;=Settings!$B$3,"simple",IF(H300&lt;=Settings!$B$4,"coding","critical"))),1,0))</f>
        <v>1</v>
      </c>
      <c r="J300" s="3" t="n">
        <f aca="false">IF(D300="",0,IF(AND(D300&gt;=G300,D300&lt;=H300),1,0))</f>
        <v>1</v>
      </c>
      <c r="K300" s="3" t="n">
        <f aca="false">IF(E300=INDEX(Prompts!$F$2:$F$200,MATCH($B300,Prompts!$A$2:$A$200,0)),1,0)</f>
        <v>0</v>
      </c>
      <c r="L300" s="3" t="n">
        <f aca="false">IF(AND(G300&gt;Settings!$B$4,OR(D300="",D300&lt;=Settings!$B$4)),1,0)</f>
        <v>0</v>
      </c>
      <c r="M300" s="3" t="n">
        <v>3.48</v>
      </c>
      <c r="N300" s="3" t="n">
        <v>284</v>
      </c>
      <c r="O300" s="3" t="n">
        <v>65</v>
      </c>
      <c r="P300" s="14" t="n">
        <v>0.000221</v>
      </c>
      <c r="Q300" s="3" t="s">
        <v>192</v>
      </c>
      <c r="R300" s="3"/>
    </row>
    <row r="301" customFormat="false" ht="15" hidden="false" customHeight="false" outlineLevel="0" collapsed="false">
      <c r="A301" s="3" t="s">
        <v>21</v>
      </c>
      <c r="B301" s="3" t="n">
        <v>12</v>
      </c>
      <c r="C301" s="3" t="s">
        <v>197</v>
      </c>
      <c r="D301" s="3" t="n">
        <v>1</v>
      </c>
      <c r="E301" s="3" t="s">
        <v>69</v>
      </c>
      <c r="F301" s="3" t="str">
        <f aca="false">IF(D301="","none",IF(D301&lt;=Settings!$B$3,"simple",IF(D301&lt;=Settings!$B$4,"coding","critical")))</f>
        <v>simple</v>
      </c>
      <c r="G301" s="3" t="n">
        <f aca="false">INDEX(Prompts!$D$2:$D$200,MATCH($B301,Prompts!$A$2:$A$200,0))</f>
        <v>2</v>
      </c>
      <c r="H301" s="3" t="n">
        <f aca="false">INDEX(Prompts!$E$2:$E$200,MATCH($B301,Prompts!$A$2:$A$200,0))</f>
        <v>4</v>
      </c>
      <c r="I301" s="3" t="n">
        <f aca="false">IF(D301="",0,IF(OR(F301=IF(G301&lt;=Settings!$B$3,"simple",IF(G301&lt;=Settings!$B$4,"coding","critical")),F301=IF(H301&lt;=Settings!$B$3,"simple",IF(H301&lt;=Settings!$B$4,"coding","critical"))),1,0))</f>
        <v>1</v>
      </c>
      <c r="J301" s="3" t="n">
        <f aca="false">IF(D301="",0,IF(AND(D301&gt;=G301,D301&lt;=H301),1,0))</f>
        <v>0</v>
      </c>
      <c r="K301" s="3" t="n">
        <f aca="false">IF(E301=INDEX(Prompts!$F$2:$F$200,MATCH($B301,Prompts!$A$2:$A$200,0)),1,0)</f>
        <v>1</v>
      </c>
      <c r="L301" s="3" t="n">
        <f aca="false">IF(AND(G301&gt;Settings!$B$4,OR(D301="",D301&lt;=Settings!$B$4)),1,0)</f>
        <v>0</v>
      </c>
      <c r="M301" s="3" t="n">
        <v>2.65</v>
      </c>
      <c r="N301" s="3" t="n">
        <v>286</v>
      </c>
      <c r="O301" s="3" t="n">
        <v>79</v>
      </c>
      <c r="P301" s="14" t="n">
        <v>0.000231</v>
      </c>
      <c r="Q301" s="3" t="s">
        <v>192</v>
      </c>
      <c r="R301" s="3"/>
    </row>
    <row r="302" customFormat="false" ht="15" hidden="false" customHeight="false" outlineLevel="0" collapsed="false">
      <c r="A302" s="3" t="s">
        <v>21</v>
      </c>
      <c r="B302" s="3" t="n">
        <v>13</v>
      </c>
      <c r="C302" s="3" t="s">
        <v>198</v>
      </c>
      <c r="D302" s="3" t="n">
        <v>3</v>
      </c>
      <c r="E302" s="3" t="s">
        <v>49</v>
      </c>
      <c r="F302" s="3" t="str">
        <f aca="false">IF(D302="","none",IF(D302&lt;=Settings!$B$3,"simple",IF(D302&lt;=Settings!$B$4,"coding","critical")))</f>
        <v>simple</v>
      </c>
      <c r="G302" s="3" t="n">
        <f aca="false">INDEX(Prompts!$D$2:$D$200,MATCH($B302,Prompts!$A$2:$A$200,0))</f>
        <v>3</v>
      </c>
      <c r="H302" s="3" t="n">
        <f aca="false">INDEX(Prompts!$E$2:$E$200,MATCH($B302,Prompts!$A$2:$A$200,0))</f>
        <v>4</v>
      </c>
      <c r="I302" s="3" t="n">
        <f aca="false">IF(D302="",0,IF(OR(F302=IF(G302&lt;=Settings!$B$3,"simple",IF(G302&lt;=Settings!$B$4,"coding","critical")),F302=IF(H302&lt;=Settings!$B$3,"simple",IF(H302&lt;=Settings!$B$4,"coding","critical"))),1,0))</f>
        <v>1</v>
      </c>
      <c r="J302" s="3" t="n">
        <f aca="false">IF(D302="",0,IF(AND(D302&gt;=G302,D302&lt;=H302),1,0))</f>
        <v>1</v>
      </c>
      <c r="K302" s="3" t="n">
        <f aca="false">IF(E302=INDEX(Prompts!$F$2:$F$200,MATCH($B302,Prompts!$A$2:$A$200,0)),1,0)</f>
        <v>1</v>
      </c>
      <c r="L302" s="3" t="n">
        <f aca="false">IF(AND(G302&gt;Settings!$B$4,OR(D302="",D302&lt;=Settings!$B$4)),1,0)</f>
        <v>0</v>
      </c>
      <c r="M302" s="3" t="n">
        <v>2.43</v>
      </c>
      <c r="N302" s="3" t="n">
        <v>289</v>
      </c>
      <c r="O302" s="3" t="n">
        <v>53</v>
      </c>
      <c r="P302" s="14" t="n">
        <v>0.000217</v>
      </c>
      <c r="Q302" s="3" t="s">
        <v>192</v>
      </c>
      <c r="R302" s="3"/>
    </row>
    <row r="303" customFormat="false" ht="15" hidden="false" customHeight="false" outlineLevel="0" collapsed="false">
      <c r="A303" s="3" t="s">
        <v>21</v>
      </c>
      <c r="B303" s="3" t="n">
        <v>14</v>
      </c>
      <c r="C303" s="3" t="s">
        <v>199</v>
      </c>
      <c r="D303" s="3" t="n">
        <v>3</v>
      </c>
      <c r="E303" s="3" t="s">
        <v>49</v>
      </c>
      <c r="F303" s="3" t="str">
        <f aca="false">IF(D303="","none",IF(D303&lt;=Settings!$B$3,"simple",IF(D303&lt;=Settings!$B$4,"coding","critical")))</f>
        <v>simple</v>
      </c>
      <c r="G303" s="3" t="n">
        <f aca="false">INDEX(Prompts!$D$2:$D$200,MATCH($B303,Prompts!$A$2:$A$200,0))</f>
        <v>2</v>
      </c>
      <c r="H303" s="3" t="n">
        <f aca="false">INDEX(Prompts!$E$2:$E$200,MATCH($B303,Prompts!$A$2:$A$200,0))</f>
        <v>4</v>
      </c>
      <c r="I303" s="3" t="n">
        <f aca="false">IF(D303="",0,IF(OR(F303=IF(G303&lt;=Settings!$B$3,"simple",IF(G303&lt;=Settings!$B$4,"coding","critical")),F303=IF(H303&lt;=Settings!$B$3,"simple",IF(H303&lt;=Settings!$B$4,"coding","critical"))),1,0))</f>
        <v>1</v>
      </c>
      <c r="J303" s="3" t="n">
        <f aca="false">IF(D303="",0,IF(AND(D303&gt;=G303,D303&lt;=H303),1,0))</f>
        <v>1</v>
      </c>
      <c r="K303" s="3" t="n">
        <f aca="false">IF(E303=INDEX(Prompts!$F$2:$F$200,MATCH($B303,Prompts!$A$2:$A$200,0)),1,0)</f>
        <v>0</v>
      </c>
      <c r="L303" s="3" t="n">
        <f aca="false">IF(AND(G303&gt;Settings!$B$4,OR(D303="",D303&lt;=Settings!$B$4)),1,0)</f>
        <v>0</v>
      </c>
      <c r="M303" s="3" t="n">
        <v>4.71</v>
      </c>
      <c r="N303" s="3" t="n">
        <v>288</v>
      </c>
      <c r="O303" s="3" t="n">
        <v>400</v>
      </c>
      <c r="P303" s="14" t="n">
        <v>0.000424</v>
      </c>
      <c r="Q303" s="3" t="s">
        <v>192</v>
      </c>
      <c r="R303" s="3"/>
    </row>
    <row r="304" customFormat="false" ht="15" hidden="false" customHeight="false" outlineLevel="0" collapsed="false">
      <c r="A304" s="3" t="s">
        <v>21</v>
      </c>
      <c r="B304" s="3" t="n">
        <v>15</v>
      </c>
      <c r="C304" s="3" t="s">
        <v>200</v>
      </c>
      <c r="D304" s="3" t="n">
        <v>4</v>
      </c>
      <c r="E304" s="3" t="s">
        <v>49</v>
      </c>
      <c r="F304" s="3" t="str">
        <f aca="false">IF(D304="","none",IF(D304&lt;=Settings!$B$3,"simple",IF(D304&lt;=Settings!$B$4,"coding","critical")))</f>
        <v>coding</v>
      </c>
      <c r="G304" s="3" t="n">
        <f aca="false">INDEX(Prompts!$D$2:$D$200,MATCH($B304,Prompts!$A$2:$A$200,0))</f>
        <v>3</v>
      </c>
      <c r="H304" s="3" t="n">
        <f aca="false">INDEX(Prompts!$E$2:$E$200,MATCH($B304,Prompts!$A$2:$A$200,0))</f>
        <v>5</v>
      </c>
      <c r="I304" s="3" t="n">
        <f aca="false">IF(D304="",0,IF(OR(F304=IF(G304&lt;=Settings!$B$3,"simple",IF(G304&lt;=Settings!$B$4,"coding","critical")),F304=IF(H304&lt;=Settings!$B$3,"simple",IF(H304&lt;=Settings!$B$4,"coding","critical"))),1,0))</f>
        <v>1</v>
      </c>
      <c r="J304" s="3" t="n">
        <f aca="false">IF(D304="",0,IF(AND(D304&gt;=G304,D304&lt;=H304),1,0))</f>
        <v>1</v>
      </c>
      <c r="K304" s="3" t="n">
        <f aca="false">IF(E304=INDEX(Prompts!$F$2:$F$200,MATCH($B304,Prompts!$A$2:$A$200,0)),1,0)</f>
        <v>1</v>
      </c>
      <c r="L304" s="3" t="n">
        <f aca="false">IF(AND(G304&gt;Settings!$B$4,OR(D304="",D304&lt;=Settings!$B$4)),1,0)</f>
        <v>0</v>
      </c>
      <c r="M304" s="3" t="n">
        <v>4.48</v>
      </c>
      <c r="N304" s="3" t="n">
        <v>294</v>
      </c>
      <c r="O304" s="3" t="n">
        <v>101</v>
      </c>
      <c r="P304" s="14" t="n">
        <v>0.000249</v>
      </c>
      <c r="Q304" s="3" t="s">
        <v>192</v>
      </c>
      <c r="R304" s="3"/>
    </row>
    <row r="305" customFormat="false" ht="15" hidden="false" customHeight="false" outlineLevel="0" collapsed="false">
      <c r="A305" s="3" t="s">
        <v>21</v>
      </c>
      <c r="B305" s="3" t="n">
        <v>16</v>
      </c>
      <c r="C305" s="3" t="s">
        <v>201</v>
      </c>
      <c r="D305" s="3" t="n">
        <v>3</v>
      </c>
      <c r="E305" s="3" t="s">
        <v>49</v>
      </c>
      <c r="F305" s="3" t="str">
        <f aca="false">IF(D305="","none",IF(D305&lt;=Settings!$B$3,"simple",IF(D305&lt;=Settings!$B$4,"coding","critical")))</f>
        <v>simple</v>
      </c>
      <c r="G305" s="3" t="n">
        <f aca="false">INDEX(Prompts!$D$2:$D$200,MATCH($B305,Prompts!$A$2:$A$200,0))</f>
        <v>3</v>
      </c>
      <c r="H305" s="3" t="n">
        <f aca="false">INDEX(Prompts!$E$2:$E$200,MATCH($B305,Prompts!$A$2:$A$200,0))</f>
        <v>5</v>
      </c>
      <c r="I305" s="3" t="n">
        <f aca="false">IF(D305="",0,IF(OR(F305=IF(G305&lt;=Settings!$B$3,"simple",IF(G305&lt;=Settings!$B$4,"coding","critical")),F305=IF(H305&lt;=Settings!$B$3,"simple",IF(H305&lt;=Settings!$B$4,"coding","critical"))),1,0))</f>
        <v>1</v>
      </c>
      <c r="J305" s="3" t="n">
        <f aca="false">IF(D305="",0,IF(AND(D305&gt;=G305,D305&lt;=H305),1,0))</f>
        <v>1</v>
      </c>
      <c r="K305" s="3" t="n">
        <f aca="false">IF(E305=INDEX(Prompts!$F$2:$F$200,MATCH($B305,Prompts!$A$2:$A$200,0)),1,0)</f>
        <v>1</v>
      </c>
      <c r="L305" s="3" t="n">
        <f aca="false">IF(AND(G305&gt;Settings!$B$4,OR(D305="",D305&lt;=Settings!$B$4)),1,0)</f>
        <v>0</v>
      </c>
      <c r="M305" s="3" t="n">
        <v>4.37</v>
      </c>
      <c r="N305" s="3" t="n">
        <v>296</v>
      </c>
      <c r="O305" s="3" t="n">
        <v>57</v>
      </c>
      <c r="P305" s="14" t="n">
        <v>0.000223</v>
      </c>
      <c r="Q305" s="3" t="s">
        <v>192</v>
      </c>
      <c r="R305" s="3"/>
    </row>
    <row r="306" customFormat="false" ht="15" hidden="false" customHeight="false" outlineLevel="0" collapsed="false">
      <c r="A306" s="3" t="s">
        <v>21</v>
      </c>
      <c r="B306" s="3" t="n">
        <v>17</v>
      </c>
      <c r="C306" s="3" t="s">
        <v>202</v>
      </c>
      <c r="D306" s="3" t="n">
        <v>1</v>
      </c>
      <c r="E306" s="3" t="s">
        <v>49</v>
      </c>
      <c r="F306" s="3" t="str">
        <f aca="false">IF(D306="","none",IF(D306&lt;=Settings!$B$3,"simple",IF(D306&lt;=Settings!$B$4,"coding","critical")))</f>
        <v>simple</v>
      </c>
      <c r="G306" s="3" t="n">
        <f aca="false">INDEX(Prompts!$D$2:$D$200,MATCH($B306,Prompts!$A$2:$A$200,0))</f>
        <v>3</v>
      </c>
      <c r="H306" s="3" t="n">
        <f aca="false">INDEX(Prompts!$E$2:$E$200,MATCH($B306,Prompts!$A$2:$A$200,0))</f>
        <v>5</v>
      </c>
      <c r="I306" s="3" t="n">
        <f aca="false">IF(D306="",0,IF(OR(F306=IF(G306&lt;=Settings!$B$3,"simple",IF(G306&lt;=Settings!$B$4,"coding","critical")),F306=IF(H306&lt;=Settings!$B$3,"simple",IF(H306&lt;=Settings!$B$4,"coding","critical"))),1,0))</f>
        <v>1</v>
      </c>
      <c r="J306" s="3" t="n">
        <f aca="false">IF(D306="",0,IF(AND(D306&gt;=G306,D306&lt;=H306),1,0))</f>
        <v>0</v>
      </c>
      <c r="K306" s="3" t="n">
        <f aca="false">IF(E306=INDEX(Prompts!$F$2:$F$200,MATCH($B306,Prompts!$A$2:$A$200,0)),1,0)</f>
        <v>0</v>
      </c>
      <c r="L306" s="3" t="n">
        <f aca="false">IF(AND(G306&gt;Settings!$B$4,OR(D306="",D306&lt;=Settings!$B$4)),1,0)</f>
        <v>0</v>
      </c>
      <c r="M306" s="3" t="n">
        <v>3.71</v>
      </c>
      <c r="N306" s="3" t="n">
        <v>291</v>
      </c>
      <c r="O306" s="3" t="n">
        <v>80</v>
      </c>
      <c r="P306" s="14" t="n">
        <v>0.000234</v>
      </c>
      <c r="Q306" s="3" t="s">
        <v>192</v>
      </c>
      <c r="R306" s="3"/>
    </row>
    <row r="307" customFormat="false" ht="15" hidden="false" customHeight="false" outlineLevel="0" collapsed="false">
      <c r="A307" s="3" t="s">
        <v>21</v>
      </c>
      <c r="B307" s="3" t="n">
        <v>18</v>
      </c>
      <c r="C307" s="3" t="s">
        <v>203</v>
      </c>
      <c r="D307" s="3" t="n">
        <v>5</v>
      </c>
      <c r="E307" s="3" t="s">
        <v>49</v>
      </c>
      <c r="F307" s="3" t="str">
        <f aca="false">IF(D307="","none",IF(D307&lt;=Settings!$B$3,"simple",IF(D307&lt;=Settings!$B$4,"coding","critical")))</f>
        <v>coding</v>
      </c>
      <c r="G307" s="3" t="n">
        <f aca="false">INDEX(Prompts!$D$2:$D$200,MATCH($B307,Prompts!$A$2:$A$200,0))</f>
        <v>4</v>
      </c>
      <c r="H307" s="3" t="n">
        <f aca="false">INDEX(Prompts!$E$2:$E$200,MATCH($B307,Prompts!$A$2:$A$200,0))</f>
        <v>6</v>
      </c>
      <c r="I307" s="3" t="n">
        <f aca="false">IF(D307="",0,IF(OR(F307=IF(G307&lt;=Settings!$B$3,"simple",IF(G307&lt;=Settings!$B$4,"coding","critical")),F307=IF(H307&lt;=Settings!$B$3,"simple",IF(H307&lt;=Settings!$B$4,"coding","critical"))),1,0))</f>
        <v>1</v>
      </c>
      <c r="J307" s="3" t="n">
        <f aca="false">IF(D307="",0,IF(AND(D307&gt;=G307,D307&lt;=H307),1,0))</f>
        <v>1</v>
      </c>
      <c r="K307" s="3" t="n">
        <f aca="false">IF(E307=INDEX(Prompts!$F$2:$F$200,MATCH($B307,Prompts!$A$2:$A$200,0)),1,0)</f>
        <v>1</v>
      </c>
      <c r="L307" s="3" t="n">
        <f aca="false">IF(AND(G307&gt;Settings!$B$4,OR(D307="",D307&lt;=Settings!$B$4)),1,0)</f>
        <v>0</v>
      </c>
      <c r="M307" s="3" t="n">
        <v>5.12</v>
      </c>
      <c r="N307" s="3" t="n">
        <v>298</v>
      </c>
      <c r="O307" s="3" t="n">
        <v>152</v>
      </c>
      <c r="P307" s="14" t="n">
        <v>0.000282</v>
      </c>
      <c r="Q307" s="3" t="s">
        <v>192</v>
      </c>
      <c r="R307" s="3"/>
    </row>
    <row r="308" customFormat="false" ht="15" hidden="false" customHeight="false" outlineLevel="0" collapsed="false">
      <c r="A308" s="3" t="s">
        <v>21</v>
      </c>
      <c r="B308" s="3" t="n">
        <v>19</v>
      </c>
      <c r="C308" s="3" t="s">
        <v>204</v>
      </c>
      <c r="D308" s="3" t="n">
        <v>3</v>
      </c>
      <c r="E308" s="3" t="s">
        <v>49</v>
      </c>
      <c r="F308" s="3" t="str">
        <f aca="false">IF(D308="","none",IF(D308&lt;=Settings!$B$3,"simple",IF(D308&lt;=Settings!$B$4,"coding","critical")))</f>
        <v>simple</v>
      </c>
      <c r="G308" s="3" t="n">
        <f aca="false">INDEX(Prompts!$D$2:$D$200,MATCH($B308,Prompts!$A$2:$A$200,0))</f>
        <v>4</v>
      </c>
      <c r="H308" s="3" t="n">
        <f aca="false">INDEX(Prompts!$E$2:$E$200,MATCH($B308,Prompts!$A$2:$A$200,0))</f>
        <v>6</v>
      </c>
      <c r="I308" s="3" t="n">
        <f aca="false">IF(D308="",0,IF(OR(F308=IF(G308&lt;=Settings!$B$3,"simple",IF(G308&lt;=Settings!$B$4,"coding","critical")),F308=IF(H308&lt;=Settings!$B$3,"simple",IF(H308&lt;=Settings!$B$4,"coding","critical"))),1,0))</f>
        <v>0</v>
      </c>
      <c r="J308" s="3" t="n">
        <f aca="false">IF(D308="",0,IF(AND(D308&gt;=G308,D308&lt;=H308),1,0))</f>
        <v>0</v>
      </c>
      <c r="K308" s="3" t="n">
        <f aca="false">IF(E308=INDEX(Prompts!$F$2:$F$200,MATCH($B308,Prompts!$A$2:$A$200,0)),1,0)</f>
        <v>1</v>
      </c>
      <c r="L308" s="3" t="n">
        <f aca="false">IF(AND(G308&gt;Settings!$B$4,OR(D308="",D308&lt;=Settings!$B$4)),1,0)</f>
        <v>0</v>
      </c>
      <c r="M308" s="3" t="n">
        <v>6.58</v>
      </c>
      <c r="N308" s="3" t="n">
        <v>295</v>
      </c>
      <c r="O308" s="3" t="n">
        <v>128</v>
      </c>
      <c r="P308" s="14" t="n">
        <v>0.000265</v>
      </c>
      <c r="Q308" s="3" t="s">
        <v>192</v>
      </c>
      <c r="R308" s="3"/>
    </row>
    <row r="309" customFormat="false" ht="15" hidden="false" customHeight="false" outlineLevel="0" collapsed="false">
      <c r="A309" s="3" t="s">
        <v>21</v>
      </c>
      <c r="B309" s="3" t="n">
        <v>20</v>
      </c>
      <c r="C309" s="3" t="s">
        <v>205</v>
      </c>
      <c r="D309" s="3" t="n">
        <v>1</v>
      </c>
      <c r="E309" s="3" t="s">
        <v>49</v>
      </c>
      <c r="F309" s="3" t="str">
        <f aca="false">IF(D309="","none",IF(D309&lt;=Settings!$B$3,"simple",IF(D309&lt;=Settings!$B$4,"coding","critical")))</f>
        <v>simple</v>
      </c>
      <c r="G309" s="3" t="n">
        <f aca="false">INDEX(Prompts!$D$2:$D$200,MATCH($B309,Prompts!$A$2:$A$200,0))</f>
        <v>4</v>
      </c>
      <c r="H309" s="3" t="n">
        <f aca="false">INDEX(Prompts!$E$2:$E$200,MATCH($B309,Prompts!$A$2:$A$200,0))</f>
        <v>6</v>
      </c>
      <c r="I309" s="3" t="n">
        <f aca="false">IF(D309="",0,IF(OR(F309=IF(G309&lt;=Settings!$B$3,"simple",IF(G309&lt;=Settings!$B$4,"coding","critical")),F309=IF(H309&lt;=Settings!$B$3,"simple",IF(H309&lt;=Settings!$B$4,"coding","critical"))),1,0))</f>
        <v>0</v>
      </c>
      <c r="J309" s="3" t="n">
        <f aca="false">IF(D309="",0,IF(AND(D309&gt;=G309,D309&lt;=H309),1,0))</f>
        <v>0</v>
      </c>
      <c r="K309" s="3" t="n">
        <f aca="false">IF(E309=INDEX(Prompts!$F$2:$F$200,MATCH($B309,Prompts!$A$2:$A$200,0)),1,0)</f>
        <v>1</v>
      </c>
      <c r="L309" s="3" t="n">
        <f aca="false">IF(AND(G309&gt;Settings!$B$4,OR(D309="",D309&lt;=Settings!$B$4)),1,0)</f>
        <v>0</v>
      </c>
      <c r="M309" s="3" t="n">
        <v>6.56</v>
      </c>
      <c r="N309" s="3" t="n">
        <v>291</v>
      </c>
      <c r="O309" s="3" t="n">
        <v>125</v>
      </c>
      <c r="P309" s="14" t="n">
        <v>0.000261</v>
      </c>
      <c r="Q309" s="3" t="s">
        <v>192</v>
      </c>
      <c r="R309" s="3"/>
    </row>
    <row r="310" customFormat="false" ht="15" hidden="false" customHeight="false" outlineLevel="0" collapsed="false">
      <c r="A310" s="3" t="s">
        <v>21</v>
      </c>
      <c r="B310" s="3" t="n">
        <v>21</v>
      </c>
      <c r="C310" s="3" t="s">
        <v>206</v>
      </c>
      <c r="D310" s="3" t="n">
        <v>5</v>
      </c>
      <c r="E310" s="3" t="s">
        <v>49</v>
      </c>
      <c r="F310" s="3" t="str">
        <f aca="false">IF(D310="","none",IF(D310&lt;=Settings!$B$3,"simple",IF(D310&lt;=Settings!$B$4,"coding","critical")))</f>
        <v>coding</v>
      </c>
      <c r="G310" s="3" t="n">
        <f aca="false">INDEX(Prompts!$D$2:$D$200,MATCH($B310,Prompts!$A$2:$A$200,0))</f>
        <v>3</v>
      </c>
      <c r="H310" s="3" t="n">
        <f aca="false">INDEX(Prompts!$E$2:$E$200,MATCH($B310,Prompts!$A$2:$A$200,0))</f>
        <v>5</v>
      </c>
      <c r="I310" s="3" t="n">
        <f aca="false">IF(D310="",0,IF(OR(F310=IF(G310&lt;=Settings!$B$3,"simple",IF(G310&lt;=Settings!$B$4,"coding","critical")),F310=IF(H310&lt;=Settings!$B$3,"simple",IF(H310&lt;=Settings!$B$4,"coding","critical"))),1,0))</f>
        <v>1</v>
      </c>
      <c r="J310" s="3" t="n">
        <f aca="false">IF(D310="",0,IF(AND(D310&gt;=G310,D310&lt;=H310),1,0))</f>
        <v>1</v>
      </c>
      <c r="K310" s="3" t="n">
        <f aca="false">IF(E310=INDEX(Prompts!$F$2:$F$200,MATCH($B310,Prompts!$A$2:$A$200,0)),1,0)</f>
        <v>0</v>
      </c>
      <c r="L310" s="3" t="n">
        <f aca="false">IF(AND(G310&gt;Settings!$B$4,OR(D310="",D310&lt;=Settings!$B$4)),1,0)</f>
        <v>0</v>
      </c>
      <c r="M310" s="3" t="n">
        <v>7.41</v>
      </c>
      <c r="N310" s="3" t="n">
        <v>17</v>
      </c>
      <c r="O310" s="3" t="n">
        <v>359</v>
      </c>
      <c r="P310" s="14" t="n">
        <v>0.000253</v>
      </c>
      <c r="Q310" s="3" t="s">
        <v>192</v>
      </c>
      <c r="R310" s="3"/>
    </row>
    <row r="311" customFormat="false" ht="15" hidden="false" customHeight="false" outlineLevel="0" collapsed="false">
      <c r="A311" s="3" t="s">
        <v>21</v>
      </c>
      <c r="B311" s="3" t="n">
        <v>22</v>
      </c>
      <c r="C311" s="3" t="s">
        <v>207</v>
      </c>
      <c r="D311" s="3" t="n">
        <v>6</v>
      </c>
      <c r="E311" s="3" t="s">
        <v>49</v>
      </c>
      <c r="F311" s="3" t="str">
        <f aca="false">IF(D311="","none",IF(D311&lt;=Settings!$B$3,"simple",IF(D311&lt;=Settings!$B$4,"coding","critical")))</f>
        <v>coding</v>
      </c>
      <c r="G311" s="3" t="n">
        <f aca="false">INDEX(Prompts!$D$2:$D$200,MATCH($B311,Prompts!$A$2:$A$200,0))</f>
        <v>4</v>
      </c>
      <c r="H311" s="3" t="n">
        <f aca="false">INDEX(Prompts!$E$2:$E$200,MATCH($B311,Prompts!$A$2:$A$200,0))</f>
        <v>6</v>
      </c>
      <c r="I311" s="3" t="n">
        <f aca="false">IF(D311="",0,IF(OR(F311=IF(G311&lt;=Settings!$B$3,"simple",IF(G311&lt;=Settings!$B$4,"coding","critical")),F311=IF(H311&lt;=Settings!$B$3,"simple",IF(H311&lt;=Settings!$B$4,"coding","critical"))),1,0))</f>
        <v>1</v>
      </c>
      <c r="J311" s="3" t="n">
        <f aca="false">IF(D311="",0,IF(AND(D311&gt;=G311,D311&lt;=H311),1,0))</f>
        <v>1</v>
      </c>
      <c r="K311" s="3" t="n">
        <f aca="false">IF(E311=INDEX(Prompts!$F$2:$F$200,MATCH($B311,Prompts!$A$2:$A$200,0)),1,0)</f>
        <v>0</v>
      </c>
      <c r="L311" s="3" t="n">
        <f aca="false">IF(AND(G311&gt;Settings!$B$4,OR(D311="",D311&lt;=Settings!$B$4)),1,0)</f>
        <v>0</v>
      </c>
      <c r="M311" s="3" t="n">
        <v>5.41</v>
      </c>
      <c r="N311" s="3" t="n">
        <v>289</v>
      </c>
      <c r="O311" s="3" t="n">
        <v>242</v>
      </c>
      <c r="P311" s="14" t="n">
        <v>0.00033</v>
      </c>
      <c r="Q311" s="3" t="s">
        <v>192</v>
      </c>
      <c r="R311" s="3"/>
    </row>
    <row r="312" customFormat="false" ht="15" hidden="false" customHeight="false" outlineLevel="0" collapsed="false">
      <c r="A312" s="3" t="s">
        <v>21</v>
      </c>
      <c r="B312" s="3" t="n">
        <v>23</v>
      </c>
      <c r="C312" s="3" t="s">
        <v>208</v>
      </c>
      <c r="D312" s="3" t="n">
        <v>5</v>
      </c>
      <c r="E312" s="3" t="s">
        <v>49</v>
      </c>
      <c r="F312" s="3" t="str">
        <f aca="false">IF(D312="","none",IF(D312&lt;=Settings!$B$3,"simple",IF(D312&lt;=Settings!$B$4,"coding","critical")))</f>
        <v>coding</v>
      </c>
      <c r="G312" s="3" t="n">
        <f aca="false">INDEX(Prompts!$D$2:$D$200,MATCH($B312,Prompts!$A$2:$A$200,0))</f>
        <v>5</v>
      </c>
      <c r="H312" s="3" t="n">
        <f aca="false">INDEX(Prompts!$E$2:$E$200,MATCH($B312,Prompts!$A$2:$A$200,0))</f>
        <v>6</v>
      </c>
      <c r="I312" s="3" t="n">
        <f aca="false">IF(D312="",0,IF(OR(F312=IF(G312&lt;=Settings!$B$3,"simple",IF(G312&lt;=Settings!$B$4,"coding","critical")),F312=IF(H312&lt;=Settings!$B$3,"simple",IF(H312&lt;=Settings!$B$4,"coding","critical"))),1,0))</f>
        <v>1</v>
      </c>
      <c r="J312" s="3" t="n">
        <f aca="false">IF(D312="",0,IF(AND(D312&gt;=G312,D312&lt;=H312),1,0))</f>
        <v>1</v>
      </c>
      <c r="K312" s="3" t="n">
        <f aca="false">IF(E312=INDEX(Prompts!$F$2:$F$200,MATCH($B312,Prompts!$A$2:$A$200,0)),1,0)</f>
        <v>1</v>
      </c>
      <c r="L312" s="3" t="n">
        <f aca="false">IF(AND(G312&gt;Settings!$B$4,OR(D312="",D312&lt;=Settings!$B$4)),1,0)</f>
        <v>0</v>
      </c>
      <c r="M312" s="3" t="n">
        <v>5.29</v>
      </c>
      <c r="N312" s="3" t="n">
        <v>294</v>
      </c>
      <c r="O312" s="3" t="n">
        <v>130</v>
      </c>
      <c r="P312" s="14" t="n">
        <v>0.000266</v>
      </c>
      <c r="Q312" s="3" t="s">
        <v>192</v>
      </c>
      <c r="R312" s="3"/>
    </row>
    <row r="313" customFormat="false" ht="15" hidden="false" customHeight="false" outlineLevel="0" collapsed="false">
      <c r="A313" s="3" t="s">
        <v>21</v>
      </c>
      <c r="B313" s="3" t="n">
        <v>24</v>
      </c>
      <c r="C313" s="3" t="s">
        <v>209</v>
      </c>
      <c r="D313" s="3" t="n">
        <v>5</v>
      </c>
      <c r="E313" s="3" t="s">
        <v>49</v>
      </c>
      <c r="F313" s="3" t="str">
        <f aca="false">IF(D313="","none",IF(D313&lt;=Settings!$B$3,"simple",IF(D313&lt;=Settings!$B$4,"coding","critical")))</f>
        <v>coding</v>
      </c>
      <c r="G313" s="3" t="n">
        <f aca="false">INDEX(Prompts!$D$2:$D$200,MATCH($B313,Prompts!$A$2:$A$200,0))</f>
        <v>5</v>
      </c>
      <c r="H313" s="3" t="n">
        <f aca="false">INDEX(Prompts!$E$2:$E$200,MATCH($B313,Prompts!$A$2:$A$200,0))</f>
        <v>7</v>
      </c>
      <c r="I313" s="3" t="n">
        <f aca="false">IF(D313="",0,IF(OR(F313=IF(G313&lt;=Settings!$B$3,"simple",IF(G313&lt;=Settings!$B$4,"coding","critical")),F313=IF(H313&lt;=Settings!$B$3,"simple",IF(H313&lt;=Settings!$B$4,"coding","critical"))),1,0))</f>
        <v>1</v>
      </c>
      <c r="J313" s="3" t="n">
        <f aca="false">IF(D313="",0,IF(AND(D313&gt;=G313,D313&lt;=H313),1,0))</f>
        <v>1</v>
      </c>
      <c r="K313" s="3" t="n">
        <f aca="false">IF(E313=INDEX(Prompts!$F$2:$F$200,MATCH($B313,Prompts!$A$2:$A$200,0)),1,0)</f>
        <v>1</v>
      </c>
      <c r="L313" s="3" t="n">
        <f aca="false">IF(AND(G313&gt;Settings!$B$4,OR(D313="",D313&lt;=Settings!$B$4)),1,0)</f>
        <v>0</v>
      </c>
      <c r="M313" s="3" t="n">
        <v>7.07</v>
      </c>
      <c r="N313" s="3" t="n">
        <v>291</v>
      </c>
      <c r="O313" s="3" t="n">
        <v>73</v>
      </c>
      <c r="P313" s="14" t="n">
        <v>0.00023</v>
      </c>
      <c r="Q313" s="3" t="s">
        <v>192</v>
      </c>
      <c r="R313" s="3"/>
    </row>
    <row r="314" customFormat="false" ht="15" hidden="false" customHeight="false" outlineLevel="0" collapsed="false">
      <c r="A314" s="3" t="s">
        <v>21</v>
      </c>
      <c r="B314" s="3" t="n">
        <v>25</v>
      </c>
      <c r="C314" s="3" t="s">
        <v>210</v>
      </c>
      <c r="D314" s="3" t="n">
        <v>6</v>
      </c>
      <c r="E314" s="3" t="s">
        <v>49</v>
      </c>
      <c r="F314" s="3" t="str">
        <f aca="false">IF(D314="","none",IF(D314&lt;=Settings!$B$3,"simple",IF(D314&lt;=Settings!$B$4,"coding","critical")))</f>
        <v>coding</v>
      </c>
      <c r="G314" s="3" t="n">
        <f aca="false">INDEX(Prompts!$D$2:$D$200,MATCH($B314,Prompts!$A$2:$A$200,0))</f>
        <v>5</v>
      </c>
      <c r="H314" s="3" t="n">
        <f aca="false">INDEX(Prompts!$E$2:$E$200,MATCH($B314,Prompts!$A$2:$A$200,0))</f>
        <v>7</v>
      </c>
      <c r="I314" s="3" t="n">
        <f aca="false">IF(D314="",0,IF(OR(F314=IF(G314&lt;=Settings!$B$3,"simple",IF(G314&lt;=Settings!$B$4,"coding","critical")),F314=IF(H314&lt;=Settings!$B$3,"simple",IF(H314&lt;=Settings!$B$4,"coding","critical"))),1,0))</f>
        <v>1</v>
      </c>
      <c r="J314" s="3" t="n">
        <f aca="false">IF(D314="",0,IF(AND(D314&gt;=G314,D314&lt;=H314),1,0))</f>
        <v>1</v>
      </c>
      <c r="K314" s="3" t="n">
        <f aca="false">IF(E314=INDEX(Prompts!$F$2:$F$200,MATCH($B314,Prompts!$A$2:$A$200,0)),1,0)</f>
        <v>1</v>
      </c>
      <c r="L314" s="3" t="n">
        <f aca="false">IF(AND(G314&gt;Settings!$B$4,OR(D314="",D314&lt;=Settings!$B$4)),1,0)</f>
        <v>0</v>
      </c>
      <c r="M314" s="3" t="n">
        <v>6.47</v>
      </c>
      <c r="N314" s="3" t="n">
        <v>296</v>
      </c>
      <c r="O314" s="3" t="n">
        <v>82</v>
      </c>
      <c r="P314" s="14" t="n">
        <v>0.000238</v>
      </c>
      <c r="Q314" s="3" t="s">
        <v>192</v>
      </c>
      <c r="R314" s="3"/>
    </row>
    <row r="315" customFormat="false" ht="15" hidden="false" customHeight="false" outlineLevel="0" collapsed="false">
      <c r="A315" s="3" t="s">
        <v>21</v>
      </c>
      <c r="B315" s="3" t="n">
        <v>26</v>
      </c>
      <c r="C315" s="3" t="s">
        <v>211</v>
      </c>
      <c r="D315" s="3" t="n">
        <v>5</v>
      </c>
      <c r="E315" s="3" t="s">
        <v>49</v>
      </c>
      <c r="F315" s="3" t="str">
        <f aca="false">IF(D315="","none",IF(D315&lt;=Settings!$B$3,"simple",IF(D315&lt;=Settings!$B$4,"coding","critical")))</f>
        <v>coding</v>
      </c>
      <c r="G315" s="3" t="n">
        <f aca="false">INDEX(Prompts!$D$2:$D$200,MATCH($B315,Prompts!$A$2:$A$200,0))</f>
        <v>5</v>
      </c>
      <c r="H315" s="3" t="n">
        <f aca="false">INDEX(Prompts!$E$2:$E$200,MATCH($B315,Prompts!$A$2:$A$200,0))</f>
        <v>6</v>
      </c>
      <c r="I315" s="3" t="n">
        <f aca="false">IF(D315="",0,IF(OR(F315=IF(G315&lt;=Settings!$B$3,"simple",IF(G315&lt;=Settings!$B$4,"coding","critical")),F315=IF(H315&lt;=Settings!$B$3,"simple",IF(H315&lt;=Settings!$B$4,"coding","critical"))),1,0))</f>
        <v>1</v>
      </c>
      <c r="J315" s="3" t="n">
        <f aca="false">IF(D315="",0,IF(AND(D315&gt;=G315,D315&lt;=H315),1,0))</f>
        <v>1</v>
      </c>
      <c r="K315" s="3" t="n">
        <f aca="false">IF(E315=INDEX(Prompts!$F$2:$F$200,MATCH($B315,Prompts!$A$2:$A$200,0)),1,0)</f>
        <v>1</v>
      </c>
      <c r="L315" s="3" t="n">
        <f aca="false">IF(AND(G315&gt;Settings!$B$4,OR(D315="",D315&lt;=Settings!$B$4)),1,0)</f>
        <v>0</v>
      </c>
      <c r="M315" s="3" t="n">
        <v>6.19</v>
      </c>
      <c r="N315" s="3" t="n">
        <v>286</v>
      </c>
      <c r="O315" s="3" t="n">
        <v>136</v>
      </c>
      <c r="P315" s="14" t="n">
        <v>0.000265</v>
      </c>
      <c r="Q315" s="3" t="s">
        <v>192</v>
      </c>
      <c r="R315" s="3"/>
    </row>
    <row r="316" customFormat="false" ht="15" hidden="false" customHeight="false" outlineLevel="0" collapsed="false">
      <c r="A316" s="3" t="s">
        <v>21</v>
      </c>
      <c r="B316" s="3" t="n">
        <v>27</v>
      </c>
      <c r="C316" s="3" t="s">
        <v>212</v>
      </c>
      <c r="D316" s="3" t="n">
        <v>7</v>
      </c>
      <c r="E316" s="3" t="s">
        <v>49</v>
      </c>
      <c r="F316" s="3" t="str">
        <f aca="false">IF(D316="","none",IF(D316&lt;=Settings!$B$3,"simple",IF(D316&lt;=Settings!$B$4,"coding","critical")))</f>
        <v>coding</v>
      </c>
      <c r="G316" s="3" t="n">
        <f aca="false">INDEX(Prompts!$D$2:$D$200,MATCH($B316,Prompts!$A$2:$A$200,0))</f>
        <v>7</v>
      </c>
      <c r="H316" s="3" t="n">
        <f aca="false">INDEX(Prompts!$E$2:$E$200,MATCH($B316,Prompts!$A$2:$A$200,0))</f>
        <v>9</v>
      </c>
      <c r="I316" s="3" t="n">
        <f aca="false">IF(D316="",0,IF(OR(F316=IF(G316&lt;=Settings!$B$3,"simple",IF(G316&lt;=Settings!$B$4,"coding","critical")),F316=IF(H316&lt;=Settings!$B$3,"simple",IF(H316&lt;=Settings!$B$4,"coding","critical"))),1,0))</f>
        <v>1</v>
      </c>
      <c r="J316" s="3" t="n">
        <f aca="false">IF(D316="",0,IF(AND(D316&gt;=G316,D316&lt;=H316),1,0))</f>
        <v>1</v>
      </c>
      <c r="K316" s="3" t="n">
        <f aca="false">IF(E316=INDEX(Prompts!$F$2:$F$200,MATCH($B316,Prompts!$A$2:$A$200,0)),1,0)</f>
        <v>1</v>
      </c>
      <c r="L316" s="3" t="n">
        <f aca="false">IF(AND(G316&gt;Settings!$B$4,OR(D316="",D316&lt;=Settings!$B$4)),1,0)</f>
        <v>0</v>
      </c>
      <c r="M316" s="3" t="n">
        <v>4.91</v>
      </c>
      <c r="N316" s="3" t="n">
        <v>292</v>
      </c>
      <c r="O316" s="3" t="n">
        <v>85</v>
      </c>
      <c r="P316" s="14" t="n">
        <v>0.000238</v>
      </c>
      <c r="Q316" s="3" t="s">
        <v>192</v>
      </c>
      <c r="R316" s="3"/>
    </row>
    <row r="317" customFormat="false" ht="15" hidden="false" customHeight="false" outlineLevel="0" collapsed="false">
      <c r="A317" s="3" t="s">
        <v>21</v>
      </c>
      <c r="B317" s="3" t="n">
        <v>28</v>
      </c>
      <c r="C317" s="3" t="s">
        <v>213</v>
      </c>
      <c r="D317" s="3" t="n">
        <v>1</v>
      </c>
      <c r="E317" s="3" t="s">
        <v>49</v>
      </c>
      <c r="F317" s="3" t="str">
        <f aca="false">IF(D317="","none",IF(D317&lt;=Settings!$B$3,"simple",IF(D317&lt;=Settings!$B$4,"coding","critical")))</f>
        <v>simple</v>
      </c>
      <c r="G317" s="3" t="n">
        <f aca="false">INDEX(Prompts!$D$2:$D$200,MATCH($B317,Prompts!$A$2:$A$200,0))</f>
        <v>7</v>
      </c>
      <c r="H317" s="3" t="n">
        <f aca="false">INDEX(Prompts!$E$2:$E$200,MATCH($B317,Prompts!$A$2:$A$200,0))</f>
        <v>9</v>
      </c>
      <c r="I317" s="3" t="n">
        <f aca="false">IF(D317="",0,IF(OR(F317=IF(G317&lt;=Settings!$B$3,"simple",IF(G317&lt;=Settings!$B$4,"coding","critical")),F317=IF(H317&lt;=Settings!$B$3,"simple",IF(H317&lt;=Settings!$B$4,"coding","critical"))),1,0))</f>
        <v>0</v>
      </c>
      <c r="J317" s="3" t="n">
        <f aca="false">IF(D317="",0,IF(AND(D317&gt;=G317,D317&lt;=H317),1,0))</f>
        <v>0</v>
      </c>
      <c r="K317" s="3" t="n">
        <f aca="false">IF(E317=INDEX(Prompts!$F$2:$F$200,MATCH($B317,Prompts!$A$2:$A$200,0)),1,0)</f>
        <v>0</v>
      </c>
      <c r="L317" s="3" t="n">
        <f aca="false">IF(AND(G317&gt;Settings!$B$4,OR(D317="",D317&lt;=Settings!$B$4)),1,0)</f>
        <v>0</v>
      </c>
      <c r="M317" s="3" t="n">
        <v>7.51</v>
      </c>
      <c r="N317" s="3" t="n">
        <v>299</v>
      </c>
      <c r="O317" s="3" t="n">
        <v>278</v>
      </c>
      <c r="P317" s="14" t="n">
        <v>0.000358</v>
      </c>
      <c r="Q317" s="3" t="s">
        <v>192</v>
      </c>
      <c r="R317" s="3"/>
    </row>
    <row r="318" customFormat="false" ht="15" hidden="false" customHeight="false" outlineLevel="0" collapsed="false">
      <c r="A318" s="3" t="s">
        <v>21</v>
      </c>
      <c r="B318" s="3" t="n">
        <v>29</v>
      </c>
      <c r="C318" s="3" t="s">
        <v>214</v>
      </c>
      <c r="D318" s="3" t="n">
        <v>1</v>
      </c>
      <c r="E318" s="3" t="s">
        <v>49</v>
      </c>
      <c r="F318" s="3" t="str">
        <f aca="false">IF(D318="","none",IF(D318&lt;=Settings!$B$3,"simple",IF(D318&lt;=Settings!$B$4,"coding","critical")))</f>
        <v>simple</v>
      </c>
      <c r="G318" s="3" t="n">
        <f aca="false">INDEX(Prompts!$D$2:$D$200,MATCH($B318,Prompts!$A$2:$A$200,0))</f>
        <v>8</v>
      </c>
      <c r="H318" s="3" t="n">
        <f aca="false">INDEX(Prompts!$E$2:$E$200,MATCH($B318,Prompts!$A$2:$A$200,0))</f>
        <v>10</v>
      </c>
      <c r="I318" s="3" t="n">
        <f aca="false">IF(D318="",0,IF(OR(F318=IF(G318&lt;=Settings!$B$3,"simple",IF(G318&lt;=Settings!$B$4,"coding","critical")),F318=IF(H318&lt;=Settings!$B$3,"simple",IF(H318&lt;=Settings!$B$4,"coding","critical"))),1,0))</f>
        <v>0</v>
      </c>
      <c r="J318" s="3" t="n">
        <f aca="false">IF(D318="",0,IF(AND(D318&gt;=G318,D318&lt;=H318),1,0))</f>
        <v>0</v>
      </c>
      <c r="K318" s="3" t="n">
        <f aca="false">IF(E318=INDEX(Prompts!$F$2:$F$200,MATCH($B318,Prompts!$A$2:$A$200,0)),1,0)</f>
        <v>1</v>
      </c>
      <c r="L318" s="3" t="n">
        <f aca="false">IF(AND(G318&gt;Settings!$B$4,OR(D318="",D318&lt;=Settings!$B$4)),1,0)</f>
        <v>1</v>
      </c>
      <c r="M318" s="3" t="n">
        <v>5.24</v>
      </c>
      <c r="N318" s="3" t="n">
        <v>298</v>
      </c>
      <c r="O318" s="3" t="n">
        <v>193</v>
      </c>
      <c r="P318" s="14" t="n">
        <v>0.000306</v>
      </c>
      <c r="Q318" s="3" t="s">
        <v>192</v>
      </c>
      <c r="R318" s="3"/>
    </row>
    <row r="319" customFormat="false" ht="15" hidden="false" customHeight="false" outlineLevel="0" collapsed="false">
      <c r="A319" s="3" t="s">
        <v>21</v>
      </c>
      <c r="B319" s="3" t="n">
        <v>30</v>
      </c>
      <c r="C319" s="3" t="s">
        <v>215</v>
      </c>
      <c r="D319" s="3" t="n">
        <v>1</v>
      </c>
      <c r="E319" s="3" t="s">
        <v>49</v>
      </c>
      <c r="F319" s="3" t="str">
        <f aca="false">IF(D319="","none",IF(D319&lt;=Settings!$B$3,"simple",IF(D319&lt;=Settings!$B$4,"coding","critical")))</f>
        <v>simple</v>
      </c>
      <c r="G319" s="3" t="n">
        <f aca="false">INDEX(Prompts!$D$2:$D$200,MATCH($B319,Prompts!$A$2:$A$200,0))</f>
        <v>9</v>
      </c>
      <c r="H319" s="3" t="n">
        <f aca="false">INDEX(Prompts!$E$2:$E$200,MATCH($B319,Prompts!$A$2:$A$200,0))</f>
        <v>10</v>
      </c>
      <c r="I319" s="3" t="n">
        <f aca="false">IF(D319="",0,IF(OR(F319=IF(G319&lt;=Settings!$B$3,"simple",IF(G319&lt;=Settings!$B$4,"coding","critical")),F319=IF(H319&lt;=Settings!$B$3,"simple",IF(H319&lt;=Settings!$B$4,"coding","critical"))),1,0))</f>
        <v>0</v>
      </c>
      <c r="J319" s="3" t="n">
        <f aca="false">IF(D319="",0,IF(AND(D319&gt;=G319,D319&lt;=H319),1,0))</f>
        <v>0</v>
      </c>
      <c r="K319" s="3" t="n">
        <f aca="false">IF(E319=INDEX(Prompts!$F$2:$F$200,MATCH($B319,Prompts!$A$2:$A$200,0)),1,0)</f>
        <v>1</v>
      </c>
      <c r="L319" s="3" t="n">
        <f aca="false">IF(AND(G319&gt;Settings!$B$4,OR(D319="",D319&lt;=Settings!$B$4)),1,0)</f>
        <v>1</v>
      </c>
      <c r="M319" s="3" t="n">
        <v>7.59</v>
      </c>
      <c r="N319" s="3" t="n">
        <v>291</v>
      </c>
      <c r="O319" s="3" t="n">
        <v>213</v>
      </c>
      <c r="P319" s="14" t="n">
        <v>0.000314</v>
      </c>
      <c r="Q319" s="3" t="s">
        <v>192</v>
      </c>
      <c r="R319" s="3"/>
    </row>
    <row r="320" customFormat="false" ht="15" hidden="false" customHeight="false" outlineLevel="0" collapsed="false">
      <c r="A320" s="3" t="s">
        <v>21</v>
      </c>
      <c r="B320" s="3" t="n">
        <v>31</v>
      </c>
      <c r="C320" s="3" t="s">
        <v>216</v>
      </c>
      <c r="D320" s="3" t="n">
        <v>9</v>
      </c>
      <c r="E320" s="3" t="s">
        <v>49</v>
      </c>
      <c r="F320" s="3" t="str">
        <f aca="false">IF(D320="","none",IF(D320&lt;=Settings!$B$3,"simple",IF(D320&lt;=Settings!$B$4,"coding","critical")))</f>
        <v>critical</v>
      </c>
      <c r="G320" s="3" t="n">
        <f aca="false">INDEX(Prompts!$D$2:$D$200,MATCH($B320,Prompts!$A$2:$A$200,0))</f>
        <v>9</v>
      </c>
      <c r="H320" s="3" t="n">
        <f aca="false">INDEX(Prompts!$E$2:$E$200,MATCH($B320,Prompts!$A$2:$A$200,0))</f>
        <v>10</v>
      </c>
      <c r="I320" s="3" t="n">
        <f aca="false">IF(D320="",0,IF(OR(F320=IF(G320&lt;=Settings!$B$3,"simple",IF(G320&lt;=Settings!$B$4,"coding","critical")),F320=IF(H320&lt;=Settings!$B$3,"simple",IF(H320&lt;=Settings!$B$4,"coding","critical"))),1,0))</f>
        <v>1</v>
      </c>
      <c r="J320" s="3" t="n">
        <f aca="false">IF(D320="",0,IF(AND(D320&gt;=G320,D320&lt;=H320),1,0))</f>
        <v>1</v>
      </c>
      <c r="K320" s="3" t="n">
        <f aca="false">IF(E320=INDEX(Prompts!$F$2:$F$200,MATCH($B320,Prompts!$A$2:$A$200,0)),1,0)</f>
        <v>0</v>
      </c>
      <c r="L320" s="3" t="n">
        <f aca="false">IF(AND(G320&gt;Settings!$B$4,OR(D320="",D320&lt;=Settings!$B$4)),1,0)</f>
        <v>0</v>
      </c>
      <c r="M320" s="3" t="n">
        <v>5.6</v>
      </c>
      <c r="N320" s="3" t="n">
        <v>294</v>
      </c>
      <c r="O320" s="3" t="n">
        <v>94</v>
      </c>
      <c r="P320" s="14" t="n">
        <v>0.000244</v>
      </c>
      <c r="Q320" s="3" t="s">
        <v>192</v>
      </c>
      <c r="R320" s="3"/>
    </row>
    <row r="321" customFormat="false" ht="15" hidden="false" customHeight="false" outlineLevel="0" collapsed="false">
      <c r="A321" s="3" t="s">
        <v>21</v>
      </c>
      <c r="B321" s="3" t="n">
        <v>32</v>
      </c>
      <c r="C321" s="3" t="s">
        <v>217</v>
      </c>
      <c r="D321" s="3" t="n">
        <v>9</v>
      </c>
      <c r="E321" s="3" t="s">
        <v>49</v>
      </c>
      <c r="F321" s="3" t="str">
        <f aca="false">IF(D321="","none",IF(D321&lt;=Settings!$B$3,"simple",IF(D321&lt;=Settings!$B$4,"coding","critical")))</f>
        <v>critical</v>
      </c>
      <c r="G321" s="3" t="n">
        <f aca="false">INDEX(Prompts!$D$2:$D$200,MATCH($B321,Prompts!$A$2:$A$200,0))</f>
        <v>9</v>
      </c>
      <c r="H321" s="3" t="n">
        <f aca="false">INDEX(Prompts!$E$2:$E$200,MATCH($B321,Prompts!$A$2:$A$200,0))</f>
        <v>10</v>
      </c>
      <c r="I321" s="3" t="n">
        <f aca="false">IF(D321="",0,IF(OR(F321=IF(G321&lt;=Settings!$B$3,"simple",IF(G321&lt;=Settings!$B$4,"coding","critical")),F321=IF(H321&lt;=Settings!$B$3,"simple",IF(H321&lt;=Settings!$B$4,"coding","critical"))),1,0))</f>
        <v>1</v>
      </c>
      <c r="J321" s="3" t="n">
        <f aca="false">IF(D321="",0,IF(AND(D321&gt;=G321,D321&lt;=H321),1,0))</f>
        <v>1</v>
      </c>
      <c r="K321" s="3" t="n">
        <f aca="false">IF(E321=INDEX(Prompts!$F$2:$F$200,MATCH($B321,Prompts!$A$2:$A$200,0)),1,0)</f>
        <v>1</v>
      </c>
      <c r="L321" s="3" t="n">
        <f aca="false">IF(AND(G321&gt;Settings!$B$4,OR(D321="",D321&lt;=Settings!$B$4)),1,0)</f>
        <v>0</v>
      </c>
      <c r="M321" s="3" t="n">
        <v>16.29</v>
      </c>
      <c r="N321" s="3" t="n">
        <v>360</v>
      </c>
      <c r="O321" s="3" t="n">
        <v>323</v>
      </c>
      <c r="P321" s="14" t="n">
        <v>0.000417</v>
      </c>
      <c r="Q321" s="3" t="s">
        <v>192</v>
      </c>
      <c r="R321" s="3"/>
    </row>
  </sheetData>
  <autoFilter ref="A1:R3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2026-10-29T12:24:56Z</dcterms:created>
  <dc:creator>openpyxl</dc:creator>
  <dc:description/>
  <dc:language>en-AE</dc:language>
  <cp:lastModifiedBy/>
  <dcterms:modified xsi:type="dcterms:W3CDTF">2026-10-29T12:24:56Z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